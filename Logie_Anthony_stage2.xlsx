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nja\Documents\"/>
    </mc:Choice>
  </mc:AlternateContent>
  <xr:revisionPtr revIDLastSave="0" documentId="8_{A3DFFDD8-1551-4FEE-B6B2-E267361F7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lance Sheet" sheetId="1" r:id="rId1"/>
    <sheet name="Income Statement" sheetId="2" r:id="rId2"/>
    <sheet name="Cash Flow" sheetId="3" r:id="rId3"/>
    <sheet name="Ratios" sheetId="4" r:id="rId4"/>
    <sheet name="Notes" sheetId="5" r:id="rId5"/>
  </sheets>
  <definedNames>
    <definedName name="avg_equity">Ratios!$C$27</definedName>
    <definedName name="avg_total_assets">Ratios!$C$28</definedName>
    <definedName name="avg_total_capitalization">Ratios!$C$29</definedName>
    <definedName name="book_equity">Ratios!$C$18</definedName>
    <definedName name="cash">Ratios!$C$19</definedName>
    <definedName name="cogs">Ratios!$C$38</definedName>
    <definedName name="cost_of_capital">Ratios!$C$7</definedName>
    <definedName name="current_assets_total">Ratios!$C$20</definedName>
    <definedName name="current_liabilities_total">Ratios!$C$21</definedName>
    <definedName name="currentYear_after_tax_operating_income">Ratios!$C$16</definedName>
    <definedName name="currentYear_assets_total">Ratios!$C$24</definedName>
    <definedName name="currentYear_total_capitalization">Ratios!$C$25</definedName>
    <definedName name="daily_sales">Ratios!$C$17</definedName>
    <definedName name="depreciation_amortization">Ratios!$C$39</definedName>
    <definedName name="ebit">Ratios!$C$32</definedName>
    <definedName name="interest_total">Ratios!$C$33</definedName>
    <definedName name="inventory_current">Ratios!$C$36</definedName>
    <definedName name="long_term_debt">Ratios!$C$22</definedName>
    <definedName name="long_term_debt_plus_equity">Ratios!$C$30</definedName>
    <definedName name="market_capitalization">Ratios!$C$9</definedName>
    <definedName name="net_income">Ratios!$C$35</definedName>
    <definedName name="nwc">Ratios!$C$23</definedName>
    <definedName name="pretax_profit">Ratios!$C$34</definedName>
    <definedName name="receivables_current">Ratios!$C$37</definedName>
    <definedName name="revenue">Ratios!$C$31</definedName>
    <definedName name="share_price">Ratios!$C$5</definedName>
    <definedName name="shares_outstanding">Ratios!$C$6</definedName>
    <definedName name="startYear_assets_total">Ratios!$C$13</definedName>
    <definedName name="startYear_equity">Ratios!$C$10</definedName>
    <definedName name="startYear_inventories">Ratios!$C$11</definedName>
    <definedName name="startYear_lt_debt">Ratios!$C$14</definedName>
    <definedName name="startYear_receivables">Ratios!$C$12</definedName>
    <definedName name="startYear_total_capitalization">Ratios!$C$15</definedName>
    <definedName name="tax_rate">Ratios!$C$8</definedName>
    <definedName name="total_liabilities">Ratios!$C$26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0" i="4" l="1"/>
  <c r="D110" i="4"/>
  <c r="B110" i="4"/>
  <c r="A110" i="4"/>
  <c r="E109" i="4"/>
  <c r="D109" i="4"/>
  <c r="B109" i="4"/>
  <c r="A109" i="4"/>
  <c r="E108" i="4"/>
  <c r="D108" i="4"/>
  <c r="B108" i="4"/>
  <c r="A108" i="4"/>
  <c r="E107" i="4"/>
  <c r="D107" i="4"/>
  <c r="B107" i="4"/>
  <c r="A107" i="4"/>
  <c r="E106" i="4"/>
  <c r="D106" i="4"/>
  <c r="B106" i="4"/>
  <c r="A106" i="4"/>
  <c r="E105" i="4"/>
  <c r="D105" i="4"/>
  <c r="B105" i="4"/>
  <c r="A105" i="4"/>
  <c r="E104" i="4"/>
  <c r="D104" i="4"/>
  <c r="B104" i="4"/>
  <c r="A104" i="4"/>
  <c r="E103" i="4"/>
  <c r="D103" i="4"/>
  <c r="B103" i="4"/>
  <c r="A103" i="4"/>
  <c r="E102" i="4"/>
  <c r="D102" i="4"/>
  <c r="B102" i="4"/>
  <c r="A102" i="4"/>
  <c r="E101" i="4"/>
  <c r="D101" i="4"/>
  <c r="B101" i="4"/>
  <c r="A101" i="4"/>
  <c r="E100" i="4"/>
  <c r="D100" i="4"/>
  <c r="B100" i="4"/>
  <c r="A100" i="4"/>
  <c r="E99" i="4"/>
  <c r="D99" i="4"/>
  <c r="B99" i="4"/>
  <c r="A99" i="4"/>
  <c r="E98" i="4"/>
  <c r="D98" i="4"/>
  <c r="B98" i="4"/>
  <c r="A98" i="4"/>
  <c r="E97" i="4"/>
  <c r="D97" i="4"/>
  <c r="B97" i="4"/>
  <c r="A97" i="4"/>
  <c r="E96" i="4"/>
  <c r="D96" i="4"/>
  <c r="B96" i="4"/>
  <c r="A96" i="4"/>
  <c r="E95" i="4"/>
  <c r="D95" i="4"/>
  <c r="B95" i="4"/>
  <c r="A95" i="4"/>
  <c r="E94" i="4"/>
  <c r="D94" i="4"/>
  <c r="B94" i="4"/>
  <c r="A94" i="4"/>
  <c r="E93" i="4"/>
  <c r="D93" i="4"/>
  <c r="B93" i="4"/>
  <c r="A93" i="4"/>
  <c r="E92" i="4"/>
  <c r="D92" i="4"/>
  <c r="B92" i="4"/>
  <c r="A92" i="4"/>
  <c r="E91" i="4"/>
  <c r="D91" i="4"/>
  <c r="B91" i="4"/>
  <c r="A91" i="4"/>
  <c r="E90" i="4"/>
  <c r="D90" i="4"/>
  <c r="B90" i="4"/>
  <c r="A90" i="4"/>
  <c r="E89" i="4"/>
  <c r="D89" i="4"/>
  <c r="B89" i="4"/>
  <c r="A89" i="4"/>
  <c r="E88" i="4"/>
  <c r="D88" i="4"/>
  <c r="B88" i="4"/>
  <c r="A88" i="4"/>
  <c r="E87" i="4"/>
  <c r="D87" i="4"/>
  <c r="B87" i="4"/>
  <c r="A87" i="4"/>
  <c r="E86" i="4"/>
  <c r="D86" i="4"/>
  <c r="B86" i="4"/>
  <c r="A86" i="4"/>
  <c r="E85" i="4"/>
  <c r="D85" i="4"/>
  <c r="B85" i="4"/>
  <c r="A85" i="4"/>
  <c r="E84" i="4"/>
  <c r="D84" i="4"/>
  <c r="B84" i="4"/>
  <c r="A84" i="4"/>
  <c r="E83" i="4"/>
  <c r="D83" i="4"/>
  <c r="B83" i="4"/>
  <c r="A83" i="4"/>
  <c r="E82" i="4"/>
  <c r="D82" i="4"/>
  <c r="B82" i="4"/>
  <c r="A82" i="4"/>
  <c r="C39" i="4"/>
  <c r="C38" i="4"/>
  <c r="C37" i="4"/>
  <c r="C36" i="4"/>
  <c r="C35" i="4"/>
  <c r="C34" i="4"/>
  <c r="C64" i="4" s="1"/>
  <c r="C103" i="4" s="1"/>
  <c r="C33" i="4"/>
  <c r="C32" i="4"/>
  <c r="C31" i="4"/>
  <c r="C26" i="4"/>
  <c r="C61" i="4" s="1"/>
  <c r="C100" i="4" s="1"/>
  <c r="C24" i="4"/>
  <c r="C22" i="4"/>
  <c r="C21" i="4"/>
  <c r="C20" i="4"/>
  <c r="C19" i="4"/>
  <c r="C69" i="4" s="1"/>
  <c r="C108" i="4" s="1"/>
  <c r="C18" i="4"/>
  <c r="C17" i="4"/>
  <c r="C14" i="4"/>
  <c r="C13" i="4"/>
  <c r="C28" i="4" s="1"/>
  <c r="C12" i="4"/>
  <c r="C11" i="4"/>
  <c r="C10" i="4"/>
  <c r="C27" i="4" s="1"/>
  <c r="C8" i="4"/>
  <c r="C16" i="4" s="1"/>
  <c r="C6" i="4"/>
  <c r="C9" i="4" s="1"/>
  <c r="C15" i="4" l="1"/>
  <c r="C56" i="4"/>
  <c r="C95" i="4" s="1"/>
  <c r="C55" i="4"/>
  <c r="C94" i="4" s="1"/>
  <c r="C71" i="4"/>
  <c r="C70" i="4"/>
  <c r="C57" i="4"/>
  <c r="C96" i="4" s="1"/>
  <c r="C51" i="4"/>
  <c r="C90" i="4" s="1"/>
  <c r="C49" i="4"/>
  <c r="C88" i="4" s="1"/>
  <c r="C48" i="4"/>
  <c r="C87" i="4" s="1"/>
  <c r="C46" i="4"/>
  <c r="C85" i="4" s="1"/>
  <c r="C63" i="4"/>
  <c r="C102" i="4" s="1"/>
  <c r="C62" i="4"/>
  <c r="C101" i="4" s="1"/>
  <c r="C58" i="4"/>
  <c r="C97" i="4" s="1"/>
  <c r="C54" i="4"/>
  <c r="C93" i="4" s="1"/>
  <c r="C53" i="4"/>
  <c r="C92" i="4" s="1"/>
  <c r="C52" i="4"/>
  <c r="C91" i="4" s="1"/>
  <c r="C30" i="4"/>
  <c r="C25" i="4"/>
  <c r="C60" i="4"/>
  <c r="C99" i="4" s="1"/>
  <c r="C59" i="4"/>
  <c r="C98" i="4" s="1"/>
  <c r="C23" i="4"/>
  <c r="C66" i="4" s="1"/>
  <c r="C105" i="4" s="1"/>
  <c r="C68" i="4"/>
  <c r="C107" i="4" s="1"/>
  <c r="C67" i="4"/>
  <c r="C47" i="4"/>
  <c r="C86" i="4" s="1"/>
  <c r="C43" i="4"/>
  <c r="C82" i="4" s="1"/>
  <c r="C44" i="4"/>
  <c r="C83" i="4" s="1"/>
  <c r="C78" i="4"/>
  <c r="E78" i="4" s="1"/>
  <c r="C65" i="4"/>
  <c r="C104" i="4" s="1"/>
  <c r="C29" i="4" l="1"/>
  <c r="C76" i="4"/>
  <c r="E76" i="4" s="1"/>
  <c r="C110" i="4"/>
  <c r="C75" i="4"/>
  <c r="E75" i="4" s="1"/>
  <c r="C109" i="4"/>
  <c r="C77" i="4"/>
  <c r="E77" i="4" s="1"/>
  <c r="C106" i="4"/>
  <c r="C50" i="4" l="1"/>
  <c r="C89" i="4" s="1"/>
  <c r="C45" i="4"/>
  <c r="C8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8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5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8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9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9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0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0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5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8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0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0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4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4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6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6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8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8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3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3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3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3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6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7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8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8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0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1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1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3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3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8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9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9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0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19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1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0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2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2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B2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  <comment ref="C2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Source URLs:
https://www.sec.gov/Archives/edgar/data/18230/000001823026000008/0000018230-26-000008-index.htm
https://investors.caterpillar.com/financials/sec-filings/sec-filings-details/default.aspx?FilingId=19144813
Values mapped from Caterpillar 2025 Form 10-K Excel data.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Latest trade-history input used in model: 716.33 on April 7, 2026.
Source URL:
https://investors.caterpillar.com/stock-info/stock-trade-history/default.aspx</t>
        </r>
      </text>
    </comment>
    <comment ref="C6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Shares outstanding at Dec. 31, 2025 = 465.3 million.
Source URLs:
https://www.sec.gov/Archives/edgar/data/18230/000001823026000008/0000018230-26-000008-index.htm
https://investors.caterpillar.com/financials/sec-filings/sec-filings-details/default.aspx?FilingId=19144813</t>
        </r>
      </text>
    </comment>
    <comment ref="C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Source URL:
https://investors.caterpillar.com/news/news-details/2026/Caterpillar-Reports-Fourth-Quarter-and-Full-Year-2025-Results/default.aspx
Assumption set for EVA analysis; update if you have class-specific WACC.</t>
        </r>
      </text>
    </comment>
    <comment ref="C9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Formula-based market cap.
Cross-check source:
https://finance.yahoo.com/quote/CAT/
Yahoo snippet showed approx. $333.71B market cap at time of access.</t>
        </r>
      </text>
    </comment>
  </commentList>
</comments>
</file>

<file path=xl/sharedStrings.xml><?xml version="1.0" encoding="utf-8"?>
<sst xmlns="http://schemas.openxmlformats.org/spreadsheetml/2006/main" count="510" uniqueCount="336">
  <si>
    <t>Caterpillar Inc. – Balance Sheet (FY2025 / FY2024)</t>
  </si>
  <si>
    <t>Line Item</t>
  </si>
  <si>
    <t>FY2025 ($mm)</t>
  </si>
  <si>
    <t>FY2024 ($mm)</t>
  </si>
  <si>
    <t>Notes</t>
  </si>
  <si>
    <t>Cash and cash equivalents</t>
  </si>
  <si>
    <t>Values mapped from Caterpillar 2025 Form 10-K Excel data.</t>
  </si>
  <si>
    <t>Receivables - trade and other</t>
  </si>
  <si>
    <t>Receivables - finance</t>
  </si>
  <si>
    <t>Prepaid expenses and other current assets</t>
  </si>
  <si>
    <t>Inventories</t>
  </si>
  <si>
    <t>Total current assets</t>
  </si>
  <si>
    <t>Property, plant and equipment - net</t>
  </si>
  <si>
    <t>Long-term receivables - trade and other</t>
  </si>
  <si>
    <t>Long-term receivables - finance</t>
  </si>
  <si>
    <t>Noncurrent deferred and refundable income taxes</t>
  </si>
  <si>
    <t>Intangible assets</t>
  </si>
  <si>
    <t>Goodwill</t>
  </si>
  <si>
    <t>Other assets</t>
  </si>
  <si>
    <t>Total assets</t>
  </si>
  <si>
    <t>Short-term borrowings - Financial Products</t>
  </si>
  <si>
    <t>Accounts payable</t>
  </si>
  <si>
    <t>Accrued expenses</t>
  </si>
  <si>
    <t>Accrued wages, salaries and employee benefits</t>
  </si>
  <si>
    <t>Customer advances</t>
  </si>
  <si>
    <t>Dividends payable</t>
  </si>
  <si>
    <t>Other current liabilities</t>
  </si>
  <si>
    <t>Current portion LT debt - Machinery, Power &amp; Energy</t>
  </si>
  <si>
    <t>Current portion LT debt - Financial Products</t>
  </si>
  <si>
    <t>Total current liabilities</t>
  </si>
  <si>
    <t>Long-term debt due after one year - Machinery, Power &amp; Energy</t>
  </si>
  <si>
    <t>Long-term debt due after one year - Financial Products</t>
  </si>
  <si>
    <t>Liability for postemployment benefits</t>
  </si>
  <si>
    <t>Other liabilities</t>
  </si>
  <si>
    <t>Total liabilities</t>
  </si>
  <si>
    <t>Common stock and paid-in capital</t>
  </si>
  <si>
    <t>Treasury stock</t>
  </si>
  <si>
    <t>Profit employed in the business</t>
  </si>
  <si>
    <t>Accumulated other comprehensive income (loss)</t>
  </si>
  <si>
    <t>Noncontrolling interests</t>
  </si>
  <si>
    <t>Total shareholders' equity</t>
  </si>
  <si>
    <t>Total liabilities and shareholders' equity</t>
  </si>
  <si>
    <t>Caterpillar Inc. – Income Statement (FY2025 / FY2024)</t>
  </si>
  <si>
    <t>Sales of Machinery, Power &amp; Energy</t>
  </si>
  <si>
    <t>Revenues of Financial Products</t>
  </si>
  <si>
    <t>Total sales and revenues</t>
  </si>
  <si>
    <t>Cost of goods sold</t>
  </si>
  <si>
    <t>Selling, general and administrative expenses</t>
  </si>
  <si>
    <t>Research and development expenses</t>
  </si>
  <si>
    <t>Interest expense of Financial Products</t>
  </si>
  <si>
    <t>Other operating (income) expenses</t>
  </si>
  <si>
    <t>Total operating costs</t>
  </si>
  <si>
    <t>Operating profit (EBIT)</t>
  </si>
  <si>
    <t>Interest expense excluding Financial Products</t>
  </si>
  <si>
    <t>Other income (expense)</t>
  </si>
  <si>
    <t>Consolidated profit before taxes</t>
  </si>
  <si>
    <t>Provision (benefit) for income taxes</t>
  </si>
  <si>
    <t>Profit of consolidated and affiliated companies</t>
  </si>
  <si>
    <t>Profit attributable to common shareholders</t>
  </si>
  <si>
    <t>Weighted average common shares outstanding (mm)</t>
  </si>
  <si>
    <t>Average common shares outstanding for fully diluted computation (mm)</t>
  </si>
  <si>
    <t>Shares outstanding at Dec. 31 (mm)</t>
  </si>
  <si>
    <t>Diluted EPS</t>
  </si>
  <si>
    <t>Caterpillar Inc. – Cash Flow Statement (FY2025 / FY2024)</t>
  </si>
  <si>
    <t>Depreciation and amortization</t>
  </si>
  <si>
    <t>Provision (benefit) for deferred income taxes</t>
  </si>
  <si>
    <t>(Gain) loss on divestiture</t>
  </si>
  <si>
    <t>Other assets - net</t>
  </si>
  <si>
    <t>Other liabilities - net</t>
  </si>
  <si>
    <t>Net cash provided by operating activities</t>
  </si>
  <si>
    <t>Capital expenditures - excluding equipment leased to others</t>
  </si>
  <si>
    <t>Expenditures for equipment leased to others</t>
  </si>
  <si>
    <t>Proceeds from disposals of leased assets and property, plant and equipment</t>
  </si>
  <si>
    <t>Net cash provided by (used for) investing activities</t>
  </si>
  <si>
    <t>Dividends paid</t>
  </si>
  <si>
    <t>Payments to purchase common stock</t>
  </si>
  <si>
    <t>Excise tax paid on purchases of common stock</t>
  </si>
  <si>
    <t>Net cash provided by (used for) financing activities</t>
  </si>
  <si>
    <t>Increase (decrease) in cash, cash equivalents and restricted cash</t>
  </si>
  <si>
    <t>Cash, cash equivalents and restricted cash at end of period</t>
  </si>
  <si>
    <t>Caterpillar Inc. – Ratio Model (latest available data)</t>
  </si>
  <si>
    <t>Named Range / Key</t>
  </si>
  <si>
    <t>Description</t>
  </si>
  <si>
    <t>Value</t>
  </si>
  <si>
    <t>Units</t>
  </si>
  <si>
    <t>Source / Formula Note</t>
  </si>
  <si>
    <t>share_price</t>
  </si>
  <si>
    <t>Share price (entered from IR trade history)</t>
  </si>
  <si>
    <t>USD/share</t>
  </si>
  <si>
    <t>Assumption / market input; update as needed</t>
  </si>
  <si>
    <t>shares_outstanding</t>
  </si>
  <si>
    <t>Shares outstanding at Dec. 31</t>
  </si>
  <si>
    <t>mm shares</t>
  </si>
  <si>
    <t>Linked from Income Statement</t>
  </si>
  <si>
    <t>cost_of_capital</t>
  </si>
  <si>
    <t>Cost of capital (WACC)</t>
  </si>
  <si>
    <t>%</t>
  </si>
  <si>
    <t>Editable assumption</t>
  </si>
  <si>
    <t>tax_rate</t>
  </si>
  <si>
    <t>Effective tax rate</t>
  </si>
  <si>
    <t>Provision for taxes / pretax profit</t>
  </si>
  <si>
    <t>market_capitalization</t>
  </si>
  <si>
    <t>Market capitalization</t>
  </si>
  <si>
    <t>$mm</t>
  </si>
  <si>
    <t>Share price × shares outstanding</t>
  </si>
  <si>
    <t>startYear_equity</t>
  </si>
  <si>
    <t>Beginning equity (FY2024)</t>
  </si>
  <si>
    <t>Prior-year balance sheet</t>
  </si>
  <si>
    <t>startYear_inventories</t>
  </si>
  <si>
    <t>Beginning inventories (FY2024)</t>
  </si>
  <si>
    <t>startYear_receivables</t>
  </si>
  <si>
    <t>Beginning receivables - trade and other (FY2024)</t>
  </si>
  <si>
    <t>startYear_assets_total</t>
  </si>
  <si>
    <t>Beginning total assets (FY2024)</t>
  </si>
  <si>
    <t>startYear_lt_debt</t>
  </si>
  <si>
    <t>Beginning long-term debt (FY2024)</t>
  </si>
  <si>
    <t>LT debt due after one year</t>
  </si>
  <si>
    <t>startYear_total_capitalization</t>
  </si>
  <si>
    <t>Beginning total capitalization (LT debt + equity)</t>
  </si>
  <si>
    <t>Beginning LT debt + beginning equity</t>
  </si>
  <si>
    <t>currentYear_after_tax_operating_income</t>
  </si>
  <si>
    <t>Current-year after-tax operating income (NOPAT)</t>
  </si>
  <si>
    <t>EBIT × (1-tax rate)</t>
  </si>
  <si>
    <t>daily_sales</t>
  </si>
  <si>
    <t>Current-year daily sales</t>
  </si>
  <si>
    <t>$mm/day</t>
  </si>
  <si>
    <t>Revenue ÷ 365</t>
  </si>
  <si>
    <t>book_equity</t>
  </si>
  <si>
    <t>Current-year book equity</t>
  </si>
  <si>
    <t>Current-year total shareholders' equity</t>
  </si>
  <si>
    <t>cash</t>
  </si>
  <si>
    <t>Current-year cash</t>
  </si>
  <si>
    <t>Current-year cash and cash equivalents</t>
  </si>
  <si>
    <t>current_assets_total</t>
  </si>
  <si>
    <t>Current-year current assets</t>
  </si>
  <si>
    <t>Current-year total current assets</t>
  </si>
  <si>
    <t>current_liabilities_total</t>
  </si>
  <si>
    <t>Current-year current liabilities</t>
  </si>
  <si>
    <t>Current-year total current liabilities</t>
  </si>
  <si>
    <t>long_term_debt</t>
  </si>
  <si>
    <t>Current-year long-term debt (due after one year)</t>
  </si>
  <si>
    <t>Current-year LT debt due after one year</t>
  </si>
  <si>
    <t>nwc</t>
  </si>
  <si>
    <t>Net working capital</t>
  </si>
  <si>
    <t>Current assets - current liabilities</t>
  </si>
  <si>
    <t>currentYear_assets_total</t>
  </si>
  <si>
    <t>Current-year total assets</t>
  </si>
  <si>
    <t>currentYear_total_capitalization</t>
  </si>
  <si>
    <t>Current-year total capitalization</t>
  </si>
  <si>
    <t>Current LT debt + current equity</t>
  </si>
  <si>
    <t>total_liabilities</t>
  </si>
  <si>
    <t>Current-year total liabilities</t>
  </si>
  <si>
    <t>avg_equity</t>
  </si>
  <si>
    <t>Average equity</t>
  </si>
  <si>
    <t>Average of beginning and ending equity</t>
  </si>
  <si>
    <t>avg_total_assets</t>
  </si>
  <si>
    <t>Average total assets</t>
  </si>
  <si>
    <t>Average of beginning and ending total assets</t>
  </si>
  <si>
    <t>avg_total_capitalization</t>
  </si>
  <si>
    <t>Average total capitalization</t>
  </si>
  <si>
    <t>Average of beginning and ending capitalization</t>
  </si>
  <si>
    <t>long_term_debt_plus_equity</t>
  </si>
  <si>
    <t>Long-term debt + equity</t>
  </si>
  <si>
    <t>Same as current-year total capitalization</t>
  </si>
  <si>
    <t>revenue</t>
  </si>
  <si>
    <t>Current-year sales and revenues</t>
  </si>
  <si>
    <t>Current-year total sales and revenues</t>
  </si>
  <si>
    <t>ebit</t>
  </si>
  <si>
    <t>Current-year EBIT</t>
  </si>
  <si>
    <t>Current-year operating profit</t>
  </si>
  <si>
    <t>interest_total</t>
  </si>
  <si>
    <t>Total interest expense</t>
  </si>
  <si>
    <t>Financial Products interest + ex-FP interest</t>
  </si>
  <si>
    <t>pretax_profit</t>
  </si>
  <si>
    <t>Pretax profit</t>
  </si>
  <si>
    <t>net_income</t>
  </si>
  <si>
    <t>Net income used for ROE and EPS</t>
  </si>
  <si>
    <t>inventory_current</t>
  </si>
  <si>
    <t>Current-year inventory</t>
  </si>
  <si>
    <t>Current-year inventories</t>
  </si>
  <si>
    <t>receivables_current</t>
  </si>
  <si>
    <t>Current-year receivables - trade and other</t>
  </si>
  <si>
    <t>cogs</t>
  </si>
  <si>
    <t>Current-year cost of goods sold</t>
  </si>
  <si>
    <t>depreciation_amortization</t>
  </si>
  <si>
    <t>Current-year D&amp;A from cash flow statement</t>
  </si>
  <si>
    <t>Ratio Calculations</t>
  </si>
  <si>
    <t>Category</t>
  </si>
  <si>
    <t>Ratio</t>
  </si>
  <si>
    <t>Computed Value</t>
  </si>
  <si>
    <t>Formula in named-range notation</t>
  </si>
  <si>
    <t>Comment</t>
  </si>
  <si>
    <t>Performance</t>
  </si>
  <si>
    <t>Market Value Added (MVA)</t>
  </si>
  <si>
    <t>market_capitalization - book_equity</t>
  </si>
  <si>
    <t>Equity market value less book equity</t>
  </si>
  <si>
    <t>Market-to-Book</t>
  </si>
  <si>
    <t>market_capitalization / book_equity</t>
  </si>
  <si>
    <t>Equity multiple</t>
  </si>
  <si>
    <t>Economic Value Added (EVA)</t>
  </si>
  <si>
    <t>currentYear_after_tax_operating_income - (avg_total_capitalization * cost_of_capital)</t>
  </si>
  <si>
    <t>NOPAT less capital charge</t>
  </si>
  <si>
    <t>Profitability</t>
  </si>
  <si>
    <t>ROA (start-of-year)</t>
  </si>
  <si>
    <t>net_income / startYear_assets_total</t>
  </si>
  <si>
    <t>Net income over beginning total assets</t>
  </si>
  <si>
    <t>ROC (start-of-year)</t>
  </si>
  <si>
    <t>currentYear_after_tax_operating_income / startYear_total_capitalization</t>
  </si>
  <si>
    <t>NOPAT over beginning capitalization</t>
  </si>
  <si>
    <t>ROE (start-of-year)</t>
  </si>
  <si>
    <t>net_income / startYear_equity</t>
  </si>
  <si>
    <t>Net income over beginning equity</t>
  </si>
  <si>
    <t>ROA (average)</t>
  </si>
  <si>
    <t>net_income / avg_total_assets</t>
  </si>
  <si>
    <t>Net income over average assets</t>
  </si>
  <si>
    <t>ROC (average)</t>
  </si>
  <si>
    <t>currentYear_after_tax_operating_income / avg_total_capitalization</t>
  </si>
  <si>
    <t>NOPAT over average capitalization</t>
  </si>
  <si>
    <t>ROE (average)</t>
  </si>
  <si>
    <t>net_income / avg_equity</t>
  </si>
  <si>
    <t>Net income over average equity</t>
  </si>
  <si>
    <t>Efficiency</t>
  </si>
  <si>
    <t>Asset Turnover</t>
  </si>
  <si>
    <t>revenue / avg_total_assets</t>
  </si>
  <si>
    <t>Revenue per average asset dollar</t>
  </si>
  <si>
    <t>Receivables Turnover</t>
  </si>
  <si>
    <t>revenue / avg_receivables</t>
  </si>
  <si>
    <t>Uses average trade &amp; other receivables</t>
  </si>
  <si>
    <t>Avg Collection Period</t>
  </si>
  <si>
    <t>365 / receivables_turnover</t>
  </si>
  <si>
    <t>Days sales outstanding</t>
  </si>
  <si>
    <t>Inventory Turnover</t>
  </si>
  <si>
    <t>cogs / avg_inventory</t>
  </si>
  <si>
    <t>Uses average inventories</t>
  </si>
  <si>
    <t>Days in Inventory</t>
  </si>
  <si>
    <t>365 / inventory_turnover</t>
  </si>
  <si>
    <t>Inventory days on hand</t>
  </si>
  <si>
    <t>Profit Margin</t>
  </si>
  <si>
    <t>net_income / revenue</t>
  </si>
  <si>
    <t>Net profit margin</t>
  </si>
  <si>
    <t>Operating Profit Margin</t>
  </si>
  <si>
    <t>ebit / revenue</t>
  </si>
  <si>
    <t>Operating margin</t>
  </si>
  <si>
    <t>Leverage</t>
  </si>
  <si>
    <t>Long-term Debt Ratio</t>
  </si>
  <si>
    <t>long_term_debt / currentYear_total_capitalization</t>
  </si>
  <si>
    <t>LT debt as a share of capitalization</t>
  </si>
  <si>
    <t>Debt-Equity Ratio</t>
  </si>
  <si>
    <t>long_term_debt / book_equity</t>
  </si>
  <si>
    <t>Long-term debt to equity</t>
  </si>
  <si>
    <t>Total Debt Ratio</t>
  </si>
  <si>
    <t>total_liabilities / currentYear_assets_total</t>
  </si>
  <si>
    <t>Total liabilities as share of assets</t>
  </si>
  <si>
    <t>Times Interest Earned</t>
  </si>
  <si>
    <t>ebit / interest_total</t>
  </si>
  <si>
    <t>EBIT / total interest expense</t>
  </si>
  <si>
    <t>Cash Coverage</t>
  </si>
  <si>
    <t>(ebit + depreciation_amortization) / interest_total</t>
  </si>
  <si>
    <t>EBITDA-style interest coverage</t>
  </si>
  <si>
    <t>Debt Burden</t>
  </si>
  <si>
    <t>pretax_profit / ebit</t>
  </si>
  <si>
    <t>Can exceed 1.0x when other income is positive</t>
  </si>
  <si>
    <t>Leverage Ratio</t>
  </si>
  <si>
    <t>avg_total_assets / avg_equity</t>
  </si>
  <si>
    <t>Financial leverage in DuPont</t>
  </si>
  <si>
    <t>Liquidity</t>
  </si>
  <si>
    <t>NWC-to-Assets</t>
  </si>
  <si>
    <t>nwc / currentYear_assets_total</t>
  </si>
  <si>
    <t>Working capital intensity</t>
  </si>
  <si>
    <t>Current Ratio</t>
  </si>
  <si>
    <t>current_assets_total / current_liabilities_total</t>
  </si>
  <si>
    <t>Current assets / current liabilities</t>
  </si>
  <si>
    <t>Quick Ratio</t>
  </si>
  <si>
    <t>(current_assets_total - inventory_current) / current_liabilities_total</t>
  </si>
  <si>
    <t>Excludes inventory</t>
  </si>
  <si>
    <t>Cash Ratio</t>
  </si>
  <si>
    <t>cash / current_liabilities_total</t>
  </si>
  <si>
    <t>Cash only</t>
  </si>
  <si>
    <t>Du Pont</t>
  </si>
  <si>
    <t>ROA decomposition</t>
  </si>
  <si>
    <t>(net_income / revenue) * (revenue / avg_total_assets)</t>
  </si>
  <si>
    <t>Should tie to ROA (average)</t>
  </si>
  <si>
    <t>ROE decomposition</t>
  </si>
  <si>
    <t>(net_income / pretax_profit) * (pretax_profit / ebit) * (ebit / revenue) * (revenue / avg_total_assets) * (avg_total_assets / avg_equity)</t>
  </si>
  <si>
    <t>Five-step DuPont ROE</t>
  </si>
  <si>
    <t>Model Checks</t>
  </si>
  <si>
    <t>Check</t>
  </si>
  <si>
    <t>Formula</t>
  </si>
  <si>
    <t>Result</t>
  </si>
  <si>
    <t>Target</t>
  </si>
  <si>
    <t>Status</t>
  </si>
  <si>
    <t>DuPont ROA tie</t>
  </si>
  <si>
    <t>'=ABS(C70-C49)</t>
  </si>
  <si>
    <t>&lt; 0.0001</t>
  </si>
  <si>
    <t>DuPont ROE tie</t>
  </si>
  <si>
    <t>'=ABS(C71-C51)</t>
  </si>
  <si>
    <t>NWC sign vs Current Ratio</t>
  </si>
  <si>
    <t>'=IF(AND(C67&gt;1,C23&gt;0),1,IF(AND(C67&lt;1,C23&lt;0),1,0))</t>
  </si>
  <si>
    <t>1 = pass</t>
  </si>
  <si>
    <t>Yahoo market-cap reasonableness</t>
  </si>
  <si>
    <t>'=ABS(C9-333710)/333710</t>
  </si>
  <si>
    <t>&lt; 0.02</t>
  </si>
  <si>
    <t>Outputs Summary</t>
  </si>
  <si>
    <t>Output Value</t>
  </si>
  <si>
    <t>Named-range notation</t>
  </si>
  <si>
    <t>Audit Ref</t>
  </si>
  <si>
    <t>Notes / Sources / Assumptions</t>
  </si>
  <si>
    <t>Type</t>
  </si>
  <si>
    <t>Detail</t>
  </si>
  <si>
    <t>URL</t>
  </si>
  <si>
    <t>Primary SEC source</t>
  </si>
  <si>
    <t>Latest Caterpillar 10-K filing detail page. Current fiscal year in model = FY2025; prior year = FY2024.</t>
  </si>
  <si>
    <t>https://www.sec.gov/Archives/edgar/data/18230/000001823026000008/0000018230-26-000008-index.htm</t>
  </si>
  <si>
    <t>Used</t>
  </si>
  <si>
    <t>Investor Relations filing source</t>
  </si>
  <si>
    <t>Caterpillar IR filing details page for the FY2025 Form 10-K, including downloadable Excel data.</t>
  </si>
  <si>
    <t>https://investors.caterpillar.com/financials/sec-filings/sec-filings-details/default.aspx?FilingId=19144813</t>
  </si>
  <si>
    <t>Investor results source</t>
  </si>
  <si>
    <t>4Q and full-year 2025 results page used as a cross-check for FY2025 revenue, operating margin, enterprise operating cash flow and enterprise cash.</t>
  </si>
  <si>
    <t>https://investors.caterpillar.com/news/news-details/2026/Caterpillar-Reports-Fourth-Quarter-and-Full-Year-2025-Results/default.aspx</t>
  </si>
  <si>
    <t>Investor market source</t>
  </si>
  <si>
    <t>Share price input uses Caterpillar IR stock trade history. Entered model price = 716.33, trade date April 7, 2026.</t>
  </si>
  <si>
    <t>https://investors.caterpillar.com/stock-info/stock-trade-history/default.aspx</t>
  </si>
  <si>
    <t>Yahoo Finance source</t>
  </si>
  <si>
    <t>Yahoo quote page used as a market-cap cross-check (snippet showed market cap of about $333.71B at time of access).</t>
  </si>
  <si>
    <t>https://finance.yahoo.com/quote/CAT/</t>
  </si>
  <si>
    <t>Assumption</t>
  </si>
  <si>
    <t>Cost of capital (WACC) is a model assumption and remains editable.</t>
  </si>
  <si>
    <t/>
  </si>
  <si>
    <t>Review</t>
  </si>
  <si>
    <t>Ratios are calculated from direct worksheet cell references so they display correctly even if spreadsheet apps mishandle named ranges.</t>
  </si>
  <si>
    <t>Method note</t>
  </si>
  <si>
    <t>Named ranges are still defined on the Ratios input cells for auditability and to match the course convention.</t>
  </si>
  <si>
    <t>DuPont ROA should exactly match average ROA, and DuPont ROE should exactly match average ROE within rounding.</t>
  </si>
  <si>
    <t>Pass</t>
  </si>
  <si>
    <t>Market capitalization is calculated as share price × shares outstanding; compare to Yahoo market cap as a reasonableness check.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</si>
</sst>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[Red]\(\$#,##0\);\-"/>
    <numFmt numFmtId="165" formatCode="0.0"/>
    <numFmt numFmtId="166" formatCode="\$0.00"/>
    <numFmt numFmtId="167" formatCode="\$#,##0.00"/>
    <numFmt numFmtId="168" formatCode="0.0%"/>
    <numFmt numFmtId="169" formatCode="0.00\x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167" fontId="3" fillId="6" borderId="0" xfId="0" applyNumberFormat="1" applyFont="1" applyFill="1" applyAlignment="1">
      <alignment vertical="center"/>
    </xf>
    <xf numFmtId="165" fontId="4" fillId="7" borderId="0" xfId="0" applyNumberFormat="1" applyFont="1" applyFill="1" applyAlignment="1">
      <alignment vertical="center"/>
    </xf>
    <xf numFmtId="168" fontId="3" fillId="6" borderId="0" xfId="0" applyNumberFormat="1" applyFont="1" applyFill="1" applyAlignment="1">
      <alignment vertical="center"/>
    </xf>
    <xf numFmtId="168" fontId="4" fillId="7" borderId="0" xfId="0" applyNumberFormat="1" applyFont="1" applyFill="1" applyAlignment="1">
      <alignment vertical="center"/>
    </xf>
    <xf numFmtId="164" fontId="4" fillId="7" borderId="0" xfId="0" applyNumberFormat="1" applyFont="1" applyFill="1" applyAlignment="1">
      <alignment vertical="center"/>
    </xf>
    <xf numFmtId="164" fontId="4" fillId="8" borderId="0" xfId="0" applyNumberFormat="1" applyFont="1" applyFill="1" applyAlignment="1">
      <alignment vertical="center"/>
    </xf>
    <xf numFmtId="169" fontId="4" fillId="8" borderId="0" xfId="0" applyNumberFormat="1" applyFont="1" applyFill="1" applyAlignment="1">
      <alignment vertical="center"/>
    </xf>
    <xf numFmtId="168" fontId="4" fillId="8" borderId="0" xfId="0" applyNumberFormat="1" applyFont="1" applyFill="1" applyAlignment="1">
      <alignment vertical="center"/>
    </xf>
    <xf numFmtId="165" fontId="4" fillId="8" borderId="0" xfId="0" applyNumberFormat="1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left" vertical="center"/>
    </xf>
    <xf numFmtId="164" fontId="0" fillId="8" borderId="0" xfId="0" applyNumberFormat="1" applyFill="1" applyAlignment="1">
      <alignment vertical="center"/>
    </xf>
    <xf numFmtId="169" fontId="0" fillId="8" borderId="0" xfId="0" applyNumberFormat="1" applyFill="1" applyAlignment="1">
      <alignment vertical="center"/>
    </xf>
    <xf numFmtId="168" fontId="0" fillId="8" borderId="0" xfId="0" applyNumberFormat="1" applyFill="1" applyAlignment="1">
      <alignment vertical="center"/>
    </xf>
    <xf numFmtId="165" fontId="0" fillId="8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571500</xdr:colOff>
      <xdr:row>38</xdr:row>
      <xdr:rowOff>200025</xdr:rowOff>
    </xdr:to>
    <xdr:sp macro="" textlink="">
      <xdr:nvSpPr>
        <xdr:cNvPr id="1097" name="Text Box 73" hidden="1">
          <a:extLst>
            <a:ext uri="{FF2B5EF4-FFF2-40B4-BE49-F238E27FC236}">
              <a16:creationId xmlns:a16="http://schemas.microsoft.com/office/drawing/2014/main" id="{C73ED39C-7C0B-2B4C-F521-42C46E6E608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304800</xdr:colOff>
      <xdr:row>43</xdr:row>
      <xdr:rowOff>104775</xdr:rowOff>
    </xdr:to>
    <xdr:sp macro="" textlink="">
      <xdr:nvSpPr>
        <xdr:cNvPr id="2089" name="Text Box 41" hidden="1">
          <a:extLst>
            <a:ext uri="{FF2B5EF4-FFF2-40B4-BE49-F238E27FC236}">
              <a16:creationId xmlns:a16="http://schemas.microsoft.com/office/drawing/2014/main" id="{C4545AD6-B2B4-AA50-DE1B-3CA44C2E3B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381000</xdr:colOff>
      <xdr:row>42</xdr:row>
      <xdr:rowOff>123825</xdr:rowOff>
    </xdr:to>
    <xdr:sp macro="" textlink="">
      <xdr:nvSpPr>
        <xdr:cNvPr id="3119" name="Text Box 47" hidden="1">
          <a:extLst>
            <a:ext uri="{FF2B5EF4-FFF2-40B4-BE49-F238E27FC236}">
              <a16:creationId xmlns:a16="http://schemas.microsoft.com/office/drawing/2014/main" id="{DB76B8F4-8DB0-AF1D-3B8E-923578FF1C6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57150</xdr:colOff>
      <xdr:row>46</xdr:row>
      <xdr:rowOff>28575</xdr:rowOff>
    </xdr:to>
    <xdr:sp macro="" textlink="">
      <xdr:nvSpPr>
        <xdr:cNvPr id="4101" name="Text Box 5" hidden="1">
          <a:extLst>
            <a:ext uri="{FF2B5EF4-FFF2-40B4-BE49-F238E27FC236}">
              <a16:creationId xmlns:a16="http://schemas.microsoft.com/office/drawing/2014/main" id="{94C2AD9B-56F3-87A9-4AEE-33470E3196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showGridLines="0" tabSelected="1" topLeftCell="A15" workbookViewId="0">
      <selection activeCell="D4" sqref="D4"/>
    </sheetView>
  </sheetViews>
  <sheetFormatPr defaultRowHeight="15" x14ac:dyDescent="0.25"/>
  <cols>
    <col min="1" max="1" width="60.140625" customWidth="1"/>
    <col min="2" max="3" width="16" customWidth="1"/>
    <col min="4" max="4" width="54.42578125" customWidth="1"/>
  </cols>
  <sheetData>
    <row r="1" spans="1:4" ht="21.95" customHeight="1" x14ac:dyDescent="0.25">
      <c r="A1" s="32" t="s">
        <v>0</v>
      </c>
      <c r="B1" s="33"/>
      <c r="C1" s="33"/>
      <c r="D1" s="33"/>
    </row>
    <row r="2" spans="1:4" x14ac:dyDescent="0.25">
      <c r="A2" s="2"/>
      <c r="B2" s="1"/>
      <c r="C2" s="1"/>
      <c r="D2" s="1"/>
    </row>
    <row r="3" spans="1: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20.100000000000001" customHeight="1" x14ac:dyDescent="0.25">
      <c r="A4" s="2" t="s">
        <v>5</v>
      </c>
      <c r="B4" s="5">
        <v>9980</v>
      </c>
      <c r="C4" s="5">
        <v>6889</v>
      </c>
      <c r="D4" s="27" t="s">
        <v>6</v>
      </c>
    </row>
    <row r="5" spans="1:4" ht="20.100000000000001" customHeight="1" x14ac:dyDescent="0.25">
      <c r="A5" s="2" t="s">
        <v>7</v>
      </c>
      <c r="B5" s="5">
        <v>10920</v>
      </c>
      <c r="C5" s="5">
        <v>9282</v>
      </c>
      <c r="D5" s="27" t="s">
        <v>6</v>
      </c>
    </row>
    <row r="6" spans="1:4" ht="20.100000000000001" customHeight="1" x14ac:dyDescent="0.25">
      <c r="A6" s="2" t="s">
        <v>8</v>
      </c>
      <c r="B6" s="5">
        <v>10649</v>
      </c>
      <c r="C6" s="5">
        <v>9565</v>
      </c>
      <c r="D6" s="27" t="s">
        <v>6</v>
      </c>
    </row>
    <row r="7" spans="1:4" ht="20.100000000000001" customHeight="1" x14ac:dyDescent="0.25">
      <c r="A7" s="2" t="s">
        <v>9</v>
      </c>
      <c r="B7" s="5">
        <v>2801</v>
      </c>
      <c r="C7" s="5">
        <v>3119</v>
      </c>
      <c r="D7" s="27" t="s">
        <v>6</v>
      </c>
    </row>
    <row r="8" spans="1:4" ht="20.100000000000001" customHeight="1" x14ac:dyDescent="0.25">
      <c r="A8" s="2" t="s">
        <v>10</v>
      </c>
      <c r="B8" s="5">
        <v>18135</v>
      </c>
      <c r="C8" s="5">
        <v>16827</v>
      </c>
      <c r="D8" s="27" t="s">
        <v>6</v>
      </c>
    </row>
    <row r="9" spans="1:4" ht="20.100000000000001" customHeight="1" x14ac:dyDescent="0.25">
      <c r="A9" s="6" t="s">
        <v>11</v>
      </c>
      <c r="B9" s="7">
        <v>52485</v>
      </c>
      <c r="C9" s="7">
        <v>45682</v>
      </c>
      <c r="D9" s="27" t="s">
        <v>6</v>
      </c>
    </row>
    <row r="10" spans="1:4" ht="20.100000000000001" customHeight="1" x14ac:dyDescent="0.25">
      <c r="A10" s="2" t="s">
        <v>12</v>
      </c>
      <c r="B10" s="5">
        <v>15140</v>
      </c>
      <c r="C10" s="5">
        <v>13361</v>
      </c>
      <c r="D10" s="27" t="s">
        <v>6</v>
      </c>
    </row>
    <row r="11" spans="1:4" ht="20.100000000000001" customHeight="1" x14ac:dyDescent="0.25">
      <c r="A11" s="2" t="s">
        <v>13</v>
      </c>
      <c r="B11" s="5">
        <v>2142</v>
      </c>
      <c r="C11" s="5">
        <v>1225</v>
      </c>
      <c r="D11" s="27" t="s">
        <v>6</v>
      </c>
    </row>
    <row r="12" spans="1:4" ht="20.100000000000001" customHeight="1" x14ac:dyDescent="0.25">
      <c r="A12" s="2" t="s">
        <v>14</v>
      </c>
      <c r="B12" s="5">
        <v>14272</v>
      </c>
      <c r="C12" s="5">
        <v>13242</v>
      </c>
      <c r="D12" s="27" t="s">
        <v>6</v>
      </c>
    </row>
    <row r="13" spans="1:4" ht="20.100000000000001" customHeight="1" x14ac:dyDescent="0.25">
      <c r="A13" s="2" t="s">
        <v>15</v>
      </c>
      <c r="B13" s="5">
        <v>2882</v>
      </c>
      <c r="C13" s="5">
        <v>3312</v>
      </c>
      <c r="D13" s="27" t="s">
        <v>6</v>
      </c>
    </row>
    <row r="14" spans="1:4" ht="20.100000000000001" customHeight="1" x14ac:dyDescent="0.25">
      <c r="A14" s="2" t="s">
        <v>16</v>
      </c>
      <c r="B14" s="5">
        <v>241</v>
      </c>
      <c r="C14" s="5">
        <v>399</v>
      </c>
      <c r="D14" s="27" t="s">
        <v>6</v>
      </c>
    </row>
    <row r="15" spans="1:4" ht="20.100000000000001" customHeight="1" x14ac:dyDescent="0.25">
      <c r="A15" s="2" t="s">
        <v>17</v>
      </c>
      <c r="B15" s="5">
        <v>5321</v>
      </c>
      <c r="C15" s="5">
        <v>5241</v>
      </c>
      <c r="D15" s="27" t="s">
        <v>6</v>
      </c>
    </row>
    <row r="16" spans="1:4" ht="20.100000000000001" customHeight="1" x14ac:dyDescent="0.25">
      <c r="A16" s="2" t="s">
        <v>18</v>
      </c>
      <c r="B16" s="5">
        <v>6102</v>
      </c>
      <c r="C16" s="5">
        <v>5302</v>
      </c>
      <c r="D16" s="27" t="s">
        <v>6</v>
      </c>
    </row>
    <row r="17" spans="1:4" ht="20.100000000000001" customHeight="1" x14ac:dyDescent="0.25">
      <c r="A17" s="6" t="s">
        <v>19</v>
      </c>
      <c r="B17" s="7">
        <v>98585</v>
      </c>
      <c r="C17" s="7">
        <v>87764</v>
      </c>
      <c r="D17" s="27" t="s">
        <v>6</v>
      </c>
    </row>
    <row r="18" spans="1:4" ht="20.100000000000001" customHeight="1" x14ac:dyDescent="0.25">
      <c r="A18" s="2" t="s">
        <v>20</v>
      </c>
      <c r="B18" s="5">
        <v>5514</v>
      </c>
      <c r="C18" s="5">
        <v>4393</v>
      </c>
      <c r="D18" s="27" t="s">
        <v>6</v>
      </c>
    </row>
    <row r="19" spans="1:4" ht="20.100000000000001" customHeight="1" x14ac:dyDescent="0.25">
      <c r="A19" s="2" t="s">
        <v>21</v>
      </c>
      <c r="B19" s="5">
        <v>8968</v>
      </c>
      <c r="C19" s="5">
        <v>7675</v>
      </c>
      <c r="D19" s="27" t="s">
        <v>6</v>
      </c>
    </row>
    <row r="20" spans="1:4" ht="20.100000000000001" customHeight="1" x14ac:dyDescent="0.25">
      <c r="A20" s="2" t="s">
        <v>22</v>
      </c>
      <c r="B20" s="5">
        <v>5587</v>
      </c>
      <c r="C20" s="5">
        <v>5243</v>
      </c>
      <c r="D20" s="27" t="s">
        <v>6</v>
      </c>
    </row>
    <row r="21" spans="1:4" ht="20.100000000000001" customHeight="1" x14ac:dyDescent="0.25">
      <c r="A21" s="2" t="s">
        <v>23</v>
      </c>
      <c r="B21" s="5">
        <v>2554</v>
      </c>
      <c r="C21" s="5">
        <v>2391</v>
      </c>
      <c r="D21" s="27" t="s">
        <v>6</v>
      </c>
    </row>
    <row r="22" spans="1:4" ht="20.100000000000001" customHeight="1" x14ac:dyDescent="0.25">
      <c r="A22" s="2" t="s">
        <v>24</v>
      </c>
      <c r="B22" s="5">
        <v>3314</v>
      </c>
      <c r="C22" s="5">
        <v>2322</v>
      </c>
      <c r="D22" s="27" t="s">
        <v>6</v>
      </c>
    </row>
    <row r="23" spans="1:4" ht="20.100000000000001" customHeight="1" x14ac:dyDescent="0.25">
      <c r="A23" s="2" t="s">
        <v>25</v>
      </c>
      <c r="B23" s="5">
        <v>703</v>
      </c>
      <c r="C23" s="5">
        <v>674</v>
      </c>
      <c r="D23" s="27" t="s">
        <v>6</v>
      </c>
    </row>
    <row r="24" spans="1:4" ht="20.100000000000001" customHeight="1" x14ac:dyDescent="0.25">
      <c r="A24" s="2" t="s">
        <v>26</v>
      </c>
      <c r="B24" s="5">
        <v>2798</v>
      </c>
      <c r="C24" s="5">
        <v>2909</v>
      </c>
      <c r="D24" s="27" t="s">
        <v>6</v>
      </c>
    </row>
    <row r="25" spans="1:4" ht="20.100000000000001" customHeight="1" x14ac:dyDescent="0.25">
      <c r="A25" s="2" t="s">
        <v>27</v>
      </c>
      <c r="B25" s="5">
        <v>35</v>
      </c>
      <c r="C25" s="5">
        <v>46</v>
      </c>
      <c r="D25" s="27" t="s">
        <v>6</v>
      </c>
    </row>
    <row r="26" spans="1:4" ht="20.100000000000001" customHeight="1" x14ac:dyDescent="0.25">
      <c r="A26" s="2" t="s">
        <v>28</v>
      </c>
      <c r="B26" s="5">
        <v>7085</v>
      </c>
      <c r="C26" s="5">
        <v>6619</v>
      </c>
      <c r="D26" s="27" t="s">
        <v>6</v>
      </c>
    </row>
    <row r="27" spans="1:4" ht="20.100000000000001" customHeight="1" x14ac:dyDescent="0.25">
      <c r="A27" s="6" t="s">
        <v>29</v>
      </c>
      <c r="B27" s="7">
        <v>36558</v>
      </c>
      <c r="C27" s="7">
        <v>32272</v>
      </c>
      <c r="D27" s="27" t="s">
        <v>6</v>
      </c>
    </row>
    <row r="28" spans="1:4" ht="20.100000000000001" customHeight="1" x14ac:dyDescent="0.25">
      <c r="A28" s="6" t="s">
        <v>30</v>
      </c>
      <c r="B28" s="8">
        <v>10678</v>
      </c>
      <c r="C28" s="8">
        <v>8564</v>
      </c>
      <c r="D28" s="27" t="s">
        <v>6</v>
      </c>
    </row>
    <row r="29" spans="1:4" ht="20.100000000000001" customHeight="1" x14ac:dyDescent="0.25">
      <c r="A29" s="2" t="s">
        <v>31</v>
      </c>
      <c r="B29" s="5">
        <v>20018</v>
      </c>
      <c r="C29" s="5">
        <v>18787</v>
      </c>
      <c r="D29" s="27" t="s">
        <v>6</v>
      </c>
    </row>
    <row r="30" spans="1:4" ht="20.100000000000001" customHeight="1" x14ac:dyDescent="0.25">
      <c r="A30" s="2" t="s">
        <v>32</v>
      </c>
      <c r="B30" s="5">
        <v>3838</v>
      </c>
      <c r="C30" s="5">
        <v>3757</v>
      </c>
      <c r="D30" s="27" t="s">
        <v>6</v>
      </c>
    </row>
    <row r="31" spans="1:4" ht="20.100000000000001" customHeight="1" x14ac:dyDescent="0.25">
      <c r="A31" s="2" t="s">
        <v>33</v>
      </c>
      <c r="B31" s="5">
        <v>6175</v>
      </c>
      <c r="C31" s="5">
        <v>4890</v>
      </c>
      <c r="D31" s="27" t="s">
        <v>6</v>
      </c>
    </row>
    <row r="32" spans="1:4" ht="20.100000000000001" customHeight="1" x14ac:dyDescent="0.25">
      <c r="A32" s="6" t="s">
        <v>34</v>
      </c>
      <c r="B32" s="7">
        <v>77267</v>
      </c>
      <c r="C32" s="7">
        <v>68270</v>
      </c>
      <c r="D32" s="27" t="s">
        <v>6</v>
      </c>
    </row>
    <row r="33" spans="1:4" ht="20.100000000000001" customHeight="1" x14ac:dyDescent="0.25">
      <c r="A33" s="6" t="s">
        <v>35</v>
      </c>
      <c r="B33" s="8">
        <v>7181</v>
      </c>
      <c r="C33" s="8">
        <v>6941</v>
      </c>
      <c r="D33" s="27" t="s">
        <v>6</v>
      </c>
    </row>
    <row r="34" spans="1:4" ht="20.100000000000001" customHeight="1" x14ac:dyDescent="0.25">
      <c r="A34" s="2" t="s">
        <v>36</v>
      </c>
      <c r="B34" s="5">
        <v>-49539</v>
      </c>
      <c r="C34" s="5">
        <v>-44331</v>
      </c>
      <c r="D34" s="27" t="s">
        <v>6</v>
      </c>
    </row>
    <row r="35" spans="1:4" ht="20.100000000000001" customHeight="1" x14ac:dyDescent="0.25">
      <c r="A35" s="2" t="s">
        <v>37</v>
      </c>
      <c r="B35" s="5">
        <v>65448</v>
      </c>
      <c r="C35" s="5">
        <v>59352</v>
      </c>
      <c r="D35" s="27" t="s">
        <v>6</v>
      </c>
    </row>
    <row r="36" spans="1:4" ht="20.100000000000001" customHeight="1" x14ac:dyDescent="0.25">
      <c r="A36" s="2" t="s">
        <v>38</v>
      </c>
      <c r="B36" s="5">
        <v>-1772</v>
      </c>
      <c r="C36" s="5">
        <v>-2471</v>
      </c>
      <c r="D36" s="27" t="s">
        <v>6</v>
      </c>
    </row>
    <row r="37" spans="1:4" ht="20.100000000000001" customHeight="1" x14ac:dyDescent="0.25">
      <c r="A37" s="2" t="s">
        <v>39</v>
      </c>
      <c r="B37" s="5">
        <v>0</v>
      </c>
      <c r="C37" s="5">
        <v>3</v>
      </c>
      <c r="D37" s="27" t="s">
        <v>6</v>
      </c>
    </row>
    <row r="38" spans="1:4" ht="20.100000000000001" customHeight="1" x14ac:dyDescent="0.25">
      <c r="A38" s="6" t="s">
        <v>40</v>
      </c>
      <c r="B38" s="7">
        <v>21318</v>
      </c>
      <c r="C38" s="7">
        <v>19494</v>
      </c>
      <c r="D38" s="27" t="s">
        <v>6</v>
      </c>
    </row>
    <row r="39" spans="1:4" ht="20.100000000000001" customHeight="1" x14ac:dyDescent="0.25">
      <c r="A39" s="6" t="s">
        <v>41</v>
      </c>
      <c r="B39" s="7">
        <v>98585</v>
      </c>
      <c r="C39" s="7">
        <v>87764</v>
      </c>
      <c r="D39" s="27" t="s">
        <v>6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workbookViewId="0">
      <selection sqref="A1:D1"/>
    </sheetView>
  </sheetViews>
  <sheetFormatPr defaultRowHeight="15" x14ac:dyDescent="0.25"/>
  <cols>
    <col min="1" max="1" width="67.85546875" customWidth="1"/>
    <col min="2" max="3" width="16" customWidth="1"/>
    <col min="4" max="4" width="59.28515625" customWidth="1"/>
  </cols>
  <sheetData>
    <row r="1" spans="1:4" ht="21.95" customHeight="1" x14ac:dyDescent="0.25">
      <c r="A1" s="32" t="s">
        <v>42</v>
      </c>
      <c r="B1" s="33"/>
      <c r="C1" s="33"/>
      <c r="D1" s="33"/>
    </row>
    <row r="2" spans="1:4" x14ac:dyDescent="0.25">
      <c r="A2" s="2"/>
      <c r="B2" s="1"/>
      <c r="C2" s="1"/>
      <c r="D2" s="1"/>
    </row>
    <row r="3" spans="1: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20.100000000000001" customHeight="1" x14ac:dyDescent="0.25">
      <c r="A4" s="2" t="s">
        <v>43</v>
      </c>
      <c r="B4" s="5">
        <v>63980</v>
      </c>
      <c r="C4" s="5">
        <v>61363</v>
      </c>
      <c r="D4" s="27" t="s">
        <v>6</v>
      </c>
    </row>
    <row r="5" spans="1:4" ht="20.100000000000001" customHeight="1" x14ac:dyDescent="0.25">
      <c r="A5" s="2" t="s">
        <v>44</v>
      </c>
      <c r="B5" s="5">
        <v>3609</v>
      </c>
      <c r="C5" s="5">
        <v>3446</v>
      </c>
      <c r="D5" s="27" t="s">
        <v>6</v>
      </c>
    </row>
    <row r="6" spans="1:4" ht="20.100000000000001" customHeight="1" x14ac:dyDescent="0.25">
      <c r="A6" s="6" t="s">
        <v>45</v>
      </c>
      <c r="B6" s="7">
        <v>67589</v>
      </c>
      <c r="C6" s="7">
        <v>64809</v>
      </c>
      <c r="D6" s="27" t="s">
        <v>6</v>
      </c>
    </row>
    <row r="7" spans="1:4" ht="20.100000000000001" customHeight="1" x14ac:dyDescent="0.25">
      <c r="A7" s="2" t="s">
        <v>46</v>
      </c>
      <c r="B7" s="5">
        <v>44752</v>
      </c>
      <c r="C7" s="5">
        <v>40199</v>
      </c>
      <c r="D7" s="27" t="s">
        <v>6</v>
      </c>
    </row>
    <row r="8" spans="1:4" ht="20.100000000000001" customHeight="1" x14ac:dyDescent="0.25">
      <c r="A8" s="2" t="s">
        <v>47</v>
      </c>
      <c r="B8" s="5">
        <v>6985</v>
      </c>
      <c r="C8" s="5">
        <v>6667</v>
      </c>
      <c r="D8" s="27" t="s">
        <v>6</v>
      </c>
    </row>
    <row r="9" spans="1:4" ht="20.100000000000001" customHeight="1" x14ac:dyDescent="0.25">
      <c r="A9" s="2" t="s">
        <v>48</v>
      </c>
      <c r="B9" s="5">
        <v>2148</v>
      </c>
      <c r="C9" s="5">
        <v>2107</v>
      </c>
      <c r="D9" s="27" t="s">
        <v>6</v>
      </c>
    </row>
    <row r="10" spans="1:4" ht="20.100000000000001" customHeight="1" x14ac:dyDescent="0.25">
      <c r="A10" s="2" t="s">
        <v>49</v>
      </c>
      <c r="B10" s="5">
        <v>1359</v>
      </c>
      <c r="C10" s="5">
        <v>1286</v>
      </c>
      <c r="D10" s="27" t="s">
        <v>6</v>
      </c>
    </row>
    <row r="11" spans="1:4" ht="20.100000000000001" customHeight="1" x14ac:dyDescent="0.25">
      <c r="A11" s="2" t="s">
        <v>50</v>
      </c>
      <c r="B11" s="5">
        <v>1194</v>
      </c>
      <c r="C11" s="5">
        <v>1478</v>
      </c>
      <c r="D11" s="27" t="s">
        <v>6</v>
      </c>
    </row>
    <row r="12" spans="1:4" ht="20.100000000000001" customHeight="1" x14ac:dyDescent="0.25">
      <c r="A12" s="6" t="s">
        <v>51</v>
      </c>
      <c r="B12" s="7">
        <v>56438</v>
      </c>
      <c r="C12" s="7">
        <v>51737</v>
      </c>
      <c r="D12" s="27" t="s">
        <v>6</v>
      </c>
    </row>
    <row r="13" spans="1:4" ht="20.100000000000001" customHeight="1" x14ac:dyDescent="0.25">
      <c r="A13" s="6" t="s">
        <v>52</v>
      </c>
      <c r="B13" s="7">
        <v>11151</v>
      </c>
      <c r="C13" s="7">
        <v>13072</v>
      </c>
      <c r="D13" s="27" t="s">
        <v>6</v>
      </c>
    </row>
    <row r="14" spans="1:4" ht="20.100000000000001" customHeight="1" x14ac:dyDescent="0.25">
      <c r="A14" s="2" t="s">
        <v>53</v>
      </c>
      <c r="B14" s="5">
        <v>502</v>
      </c>
      <c r="C14" s="5">
        <v>512</v>
      </c>
      <c r="D14" s="27" t="s">
        <v>6</v>
      </c>
    </row>
    <row r="15" spans="1:4" ht="20.100000000000001" customHeight="1" x14ac:dyDescent="0.25">
      <c r="A15" s="2" t="s">
        <v>54</v>
      </c>
      <c r="B15" s="5">
        <v>892</v>
      </c>
      <c r="C15" s="5">
        <v>813</v>
      </c>
      <c r="D15" s="27" t="s">
        <v>6</v>
      </c>
    </row>
    <row r="16" spans="1:4" ht="20.100000000000001" customHeight="1" x14ac:dyDescent="0.25">
      <c r="A16" s="6" t="s">
        <v>55</v>
      </c>
      <c r="B16" s="8">
        <v>11541</v>
      </c>
      <c r="C16" s="8">
        <v>13373</v>
      </c>
      <c r="D16" s="27" t="s">
        <v>6</v>
      </c>
    </row>
    <row r="17" spans="1:4" ht="20.100000000000001" customHeight="1" x14ac:dyDescent="0.25">
      <c r="A17" s="2" t="s">
        <v>56</v>
      </c>
      <c r="B17" s="5">
        <v>2768</v>
      </c>
      <c r="C17" s="5">
        <v>2629</v>
      </c>
      <c r="D17" s="27" t="s">
        <v>6</v>
      </c>
    </row>
    <row r="18" spans="1:4" ht="20.100000000000001" customHeight="1" x14ac:dyDescent="0.25">
      <c r="A18" s="2" t="s">
        <v>57</v>
      </c>
      <c r="B18" s="5">
        <v>8882</v>
      </c>
      <c r="C18" s="5">
        <v>10788</v>
      </c>
      <c r="D18" s="27" t="s">
        <v>6</v>
      </c>
    </row>
    <row r="19" spans="1:4" ht="20.100000000000001" customHeight="1" x14ac:dyDescent="0.25">
      <c r="A19" s="6" t="s">
        <v>58</v>
      </c>
      <c r="B19" s="7">
        <v>8884</v>
      </c>
      <c r="C19" s="7">
        <v>10792</v>
      </c>
      <c r="D19" s="27" t="s">
        <v>6</v>
      </c>
    </row>
    <row r="20" spans="1:4" ht="20.100000000000001" customHeight="1" x14ac:dyDescent="0.25">
      <c r="A20" s="2" t="s">
        <v>59</v>
      </c>
      <c r="B20" s="9">
        <v>470</v>
      </c>
      <c r="C20" s="9">
        <v>486.7</v>
      </c>
      <c r="D20" s="27" t="s">
        <v>6</v>
      </c>
    </row>
    <row r="21" spans="1:4" ht="20.100000000000001" customHeight="1" x14ac:dyDescent="0.25">
      <c r="A21" s="2" t="s">
        <v>60</v>
      </c>
      <c r="B21" s="9">
        <v>472.3</v>
      </c>
      <c r="C21" s="9">
        <v>489.4</v>
      </c>
      <c r="D21" s="27" t="s">
        <v>6</v>
      </c>
    </row>
    <row r="22" spans="1:4" ht="20.100000000000001" customHeight="1" x14ac:dyDescent="0.25">
      <c r="A22" s="2" t="s">
        <v>61</v>
      </c>
      <c r="B22" s="9">
        <v>465.3</v>
      </c>
      <c r="C22" s="9">
        <v>477.9</v>
      </c>
      <c r="D22" s="27" t="s">
        <v>6</v>
      </c>
    </row>
    <row r="23" spans="1:4" ht="20.100000000000001" customHeight="1" x14ac:dyDescent="0.25">
      <c r="A23" s="2" t="s">
        <v>62</v>
      </c>
      <c r="B23" s="10">
        <v>18.809999999999999</v>
      </c>
      <c r="C23" s="10">
        <v>22.05</v>
      </c>
      <c r="D23" s="27" t="s">
        <v>6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workbookViewId="0">
      <selection sqref="A1:D1"/>
    </sheetView>
  </sheetViews>
  <sheetFormatPr defaultRowHeight="15" x14ac:dyDescent="0.25"/>
  <cols>
    <col min="1" max="1" width="58" customWidth="1"/>
    <col min="2" max="3" width="16" customWidth="1"/>
    <col min="4" max="4" width="56" customWidth="1"/>
  </cols>
  <sheetData>
    <row r="1" spans="1:4" ht="21.95" customHeight="1" x14ac:dyDescent="0.25">
      <c r="A1" s="32" t="s">
        <v>63</v>
      </c>
      <c r="B1" s="33"/>
      <c r="C1" s="33"/>
      <c r="D1" s="33"/>
    </row>
    <row r="2" spans="1:4" x14ac:dyDescent="0.25">
      <c r="A2" s="2"/>
      <c r="B2" s="1"/>
      <c r="C2" s="1"/>
      <c r="D2" s="1"/>
    </row>
    <row r="3" spans="1:4" x14ac:dyDescent="0.25">
      <c r="A3" s="3" t="s">
        <v>1</v>
      </c>
      <c r="B3" s="4" t="s">
        <v>2</v>
      </c>
      <c r="C3" s="4" t="s">
        <v>3</v>
      </c>
      <c r="D3" s="4" t="s">
        <v>4</v>
      </c>
    </row>
    <row r="4" spans="1:4" ht="20.100000000000001" customHeight="1" x14ac:dyDescent="0.25">
      <c r="A4" s="2" t="s">
        <v>57</v>
      </c>
      <c r="B4" s="5">
        <v>8882</v>
      </c>
      <c r="C4" s="5">
        <v>10788</v>
      </c>
      <c r="D4" s="27" t="s">
        <v>6</v>
      </c>
    </row>
    <row r="5" spans="1:4" ht="20.100000000000001" customHeight="1" x14ac:dyDescent="0.25">
      <c r="A5" s="2" t="s">
        <v>64</v>
      </c>
      <c r="B5" s="5">
        <v>2262</v>
      </c>
      <c r="C5" s="5">
        <v>2153</v>
      </c>
      <c r="D5" s="27" t="s">
        <v>6</v>
      </c>
    </row>
    <row r="6" spans="1:4" ht="20.100000000000001" customHeight="1" x14ac:dyDescent="0.25">
      <c r="A6" s="2" t="s">
        <v>65</v>
      </c>
      <c r="B6" s="5">
        <v>465</v>
      </c>
      <c r="C6" s="5">
        <v>-621</v>
      </c>
      <c r="D6" s="27" t="s">
        <v>6</v>
      </c>
    </row>
    <row r="7" spans="1:4" ht="20.100000000000001" customHeight="1" x14ac:dyDescent="0.25">
      <c r="A7" s="2" t="s">
        <v>66</v>
      </c>
      <c r="B7" s="5">
        <v>30</v>
      </c>
      <c r="C7" s="5">
        <v>164</v>
      </c>
      <c r="D7" s="27" t="s">
        <v>6</v>
      </c>
    </row>
    <row r="8" spans="1:4" ht="20.100000000000001" customHeight="1" x14ac:dyDescent="0.25">
      <c r="A8" s="2" t="s">
        <v>7</v>
      </c>
      <c r="B8" s="5">
        <v>-2138</v>
      </c>
      <c r="C8" s="5">
        <v>-160</v>
      </c>
      <c r="D8" s="27" t="s">
        <v>6</v>
      </c>
    </row>
    <row r="9" spans="1:4" ht="20.100000000000001" customHeight="1" x14ac:dyDescent="0.25">
      <c r="A9" s="2" t="s">
        <v>10</v>
      </c>
      <c r="B9" s="5">
        <v>-1477</v>
      </c>
      <c r="C9" s="5">
        <v>-414</v>
      </c>
      <c r="D9" s="27" t="s">
        <v>6</v>
      </c>
    </row>
    <row r="10" spans="1:4" ht="20.100000000000001" customHeight="1" x14ac:dyDescent="0.25">
      <c r="A10" s="2" t="s">
        <v>21</v>
      </c>
      <c r="B10" s="5">
        <v>1179</v>
      </c>
      <c r="C10" s="5">
        <v>-282</v>
      </c>
      <c r="D10" s="27" t="s">
        <v>6</v>
      </c>
    </row>
    <row r="11" spans="1:4" ht="20.100000000000001" customHeight="1" x14ac:dyDescent="0.25">
      <c r="A11" s="2" t="s">
        <v>22</v>
      </c>
      <c r="B11" s="5">
        <v>438</v>
      </c>
      <c r="C11" s="5">
        <v>191</v>
      </c>
      <c r="D11" s="27" t="s">
        <v>6</v>
      </c>
    </row>
    <row r="12" spans="1:4" ht="20.100000000000001" customHeight="1" x14ac:dyDescent="0.25">
      <c r="A12" s="2" t="s">
        <v>23</v>
      </c>
      <c r="B12" s="5">
        <v>187</v>
      </c>
      <c r="C12" s="5">
        <v>-363</v>
      </c>
      <c r="D12" s="27" t="s">
        <v>6</v>
      </c>
    </row>
    <row r="13" spans="1:4" ht="20.100000000000001" customHeight="1" x14ac:dyDescent="0.25">
      <c r="A13" s="2" t="s">
        <v>24</v>
      </c>
      <c r="B13" s="5">
        <v>1933</v>
      </c>
      <c r="C13" s="5">
        <v>370</v>
      </c>
      <c r="D13" s="27" t="s">
        <v>6</v>
      </c>
    </row>
    <row r="14" spans="1:4" ht="20.100000000000001" customHeight="1" x14ac:dyDescent="0.25">
      <c r="A14" s="2" t="s">
        <v>67</v>
      </c>
      <c r="B14" s="5">
        <v>-176</v>
      </c>
      <c r="C14" s="5">
        <v>-97</v>
      </c>
      <c r="D14" s="27" t="s">
        <v>6</v>
      </c>
    </row>
    <row r="15" spans="1:4" ht="20.100000000000001" customHeight="1" x14ac:dyDescent="0.25">
      <c r="A15" s="2" t="s">
        <v>68</v>
      </c>
      <c r="B15" s="5">
        <v>-294</v>
      </c>
      <c r="C15" s="5">
        <v>-104</v>
      </c>
      <c r="D15" s="27" t="s">
        <v>6</v>
      </c>
    </row>
    <row r="16" spans="1:4" ht="20.100000000000001" customHeight="1" x14ac:dyDescent="0.25">
      <c r="A16" s="6" t="s">
        <v>69</v>
      </c>
      <c r="B16" s="7">
        <v>11739</v>
      </c>
      <c r="C16" s="7">
        <v>12035</v>
      </c>
      <c r="D16" s="27" t="s">
        <v>6</v>
      </c>
    </row>
    <row r="17" spans="1:4" ht="20.100000000000001" customHeight="1" x14ac:dyDescent="0.25">
      <c r="A17" s="2" t="s">
        <v>70</v>
      </c>
      <c r="B17" s="5">
        <v>-2821</v>
      </c>
      <c r="C17" s="5">
        <v>-1988</v>
      </c>
      <c r="D17" s="27" t="s">
        <v>6</v>
      </c>
    </row>
    <row r="18" spans="1:4" ht="20.100000000000001" customHeight="1" x14ac:dyDescent="0.25">
      <c r="A18" s="2" t="s">
        <v>71</v>
      </c>
      <c r="B18" s="5">
        <v>-1465</v>
      </c>
      <c r="C18" s="5">
        <v>-1227</v>
      </c>
      <c r="D18" s="27" t="s">
        <v>6</v>
      </c>
    </row>
    <row r="19" spans="1:4" ht="20.100000000000001" customHeight="1" x14ac:dyDescent="0.25">
      <c r="A19" s="2" t="s">
        <v>72</v>
      </c>
      <c r="B19" s="5">
        <v>708</v>
      </c>
      <c r="C19" s="5">
        <v>722</v>
      </c>
      <c r="D19" s="27" t="s">
        <v>6</v>
      </c>
    </row>
    <row r="20" spans="1:4" ht="20.100000000000001" customHeight="1" x14ac:dyDescent="0.25">
      <c r="A20" s="6" t="s">
        <v>73</v>
      </c>
      <c r="B20" s="7">
        <v>-4707</v>
      </c>
      <c r="C20" s="7">
        <v>-2453</v>
      </c>
      <c r="D20" s="27" t="s">
        <v>6</v>
      </c>
    </row>
    <row r="21" spans="1:4" ht="20.100000000000001" customHeight="1" x14ac:dyDescent="0.25">
      <c r="A21" s="2" t="s">
        <v>74</v>
      </c>
      <c r="B21" s="5">
        <v>-2749</v>
      </c>
      <c r="C21" s="5">
        <v>-2646</v>
      </c>
      <c r="D21" s="27" t="s">
        <v>6</v>
      </c>
    </row>
    <row r="22" spans="1:4" ht="20.100000000000001" customHeight="1" x14ac:dyDescent="0.25">
      <c r="A22" s="2" t="s">
        <v>75</v>
      </c>
      <c r="B22" s="5">
        <v>-5190</v>
      </c>
      <c r="C22" s="5">
        <v>-7697</v>
      </c>
      <c r="D22" s="27" t="s">
        <v>6</v>
      </c>
    </row>
    <row r="23" spans="1:4" ht="20.100000000000001" customHeight="1" x14ac:dyDescent="0.25">
      <c r="A23" s="2" t="s">
        <v>76</v>
      </c>
      <c r="B23" s="5">
        <v>-73</v>
      </c>
      <c r="C23" s="5">
        <v>-40</v>
      </c>
      <c r="D23" s="27" t="s">
        <v>6</v>
      </c>
    </row>
    <row r="24" spans="1:4" ht="20.100000000000001" customHeight="1" x14ac:dyDescent="0.25">
      <c r="A24" s="6" t="s">
        <v>77</v>
      </c>
      <c r="B24" s="7">
        <v>-3899</v>
      </c>
      <c r="C24" s="7">
        <v>-9565</v>
      </c>
      <c r="D24" s="27" t="s">
        <v>6</v>
      </c>
    </row>
    <row r="25" spans="1:4" ht="20.100000000000001" customHeight="1" x14ac:dyDescent="0.25">
      <c r="A25" s="6" t="s">
        <v>78</v>
      </c>
      <c r="B25" s="8">
        <v>3090</v>
      </c>
      <c r="C25" s="8">
        <v>-89</v>
      </c>
      <c r="D25" s="27" t="s">
        <v>6</v>
      </c>
    </row>
    <row r="26" spans="1:4" ht="20.100000000000001" customHeight="1" x14ac:dyDescent="0.25">
      <c r="A26" s="2" t="s">
        <v>79</v>
      </c>
      <c r="B26" s="5">
        <v>9986</v>
      </c>
      <c r="C26" s="5">
        <v>6896</v>
      </c>
      <c r="D26" s="27" t="s">
        <v>6</v>
      </c>
    </row>
  </sheetData>
  <mergeCells count="1">
    <mergeCell ref="A1:D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0"/>
  <sheetViews>
    <sheetView showGridLines="0" topLeftCell="A21" workbookViewId="0">
      <selection sqref="A1:E1"/>
    </sheetView>
  </sheetViews>
  <sheetFormatPr defaultRowHeight="15" x14ac:dyDescent="0.25"/>
  <cols>
    <col min="1" max="1" width="28" customWidth="1"/>
    <col min="2" max="2" width="47.85546875" customWidth="1"/>
    <col min="3" max="3" width="16" customWidth="1"/>
    <col min="4" max="4" width="58" customWidth="1"/>
    <col min="5" max="5" width="36" customWidth="1"/>
  </cols>
  <sheetData>
    <row r="1" spans="1:5" ht="21.95" customHeight="1" x14ac:dyDescent="0.25">
      <c r="A1" s="32" t="s">
        <v>80</v>
      </c>
      <c r="B1" s="33"/>
      <c r="C1" s="33"/>
      <c r="D1" s="33"/>
      <c r="E1" s="33"/>
    </row>
    <row r="2" spans="1:5" x14ac:dyDescent="0.25">
      <c r="A2" s="2"/>
      <c r="B2" s="1"/>
      <c r="C2" s="1"/>
      <c r="D2" s="1"/>
      <c r="E2" s="1"/>
    </row>
    <row r="3" spans="1:5" x14ac:dyDescent="0.25">
      <c r="A3" s="3" t="s">
        <v>81</v>
      </c>
      <c r="B3" s="4" t="s">
        <v>82</v>
      </c>
      <c r="C3" s="4" t="s">
        <v>83</v>
      </c>
      <c r="D3" s="4" t="s">
        <v>84</v>
      </c>
      <c r="E3" s="4" t="s">
        <v>85</v>
      </c>
    </row>
    <row r="4" spans="1:5" x14ac:dyDescent="0.25">
      <c r="A4" s="2"/>
      <c r="B4" s="1"/>
      <c r="C4" s="1"/>
      <c r="D4" s="1"/>
      <c r="E4" s="1"/>
    </row>
    <row r="5" spans="1:5" x14ac:dyDescent="0.25">
      <c r="A5" s="2" t="s">
        <v>86</v>
      </c>
      <c r="B5" s="1" t="s">
        <v>87</v>
      </c>
      <c r="C5" s="11">
        <v>716.33</v>
      </c>
      <c r="D5" s="1" t="s">
        <v>88</v>
      </c>
      <c r="E5" s="1" t="s">
        <v>89</v>
      </c>
    </row>
    <row r="6" spans="1:5" x14ac:dyDescent="0.25">
      <c r="A6" s="2" t="s">
        <v>90</v>
      </c>
      <c r="B6" s="1" t="s">
        <v>91</v>
      </c>
      <c r="C6" s="12">
        <f>'Income Statement'!B22</f>
        <v>465.3</v>
      </c>
      <c r="D6" s="1" t="s">
        <v>92</v>
      </c>
      <c r="E6" s="1" t="s">
        <v>93</v>
      </c>
    </row>
    <row r="7" spans="1:5" x14ac:dyDescent="0.25">
      <c r="A7" s="2" t="s">
        <v>94</v>
      </c>
      <c r="B7" s="1" t="s">
        <v>95</v>
      </c>
      <c r="C7" s="13">
        <v>0.1</v>
      </c>
      <c r="D7" s="1" t="s">
        <v>96</v>
      </c>
      <c r="E7" s="1" t="s">
        <v>97</v>
      </c>
    </row>
    <row r="8" spans="1:5" x14ac:dyDescent="0.25">
      <c r="A8" s="2" t="s">
        <v>98</v>
      </c>
      <c r="B8" s="1" t="s">
        <v>99</v>
      </c>
      <c r="C8" s="14">
        <f>'Income Statement'!B17/'Income Statement'!B16</f>
        <v>0.23984056840828352</v>
      </c>
      <c r="D8" s="1" t="s">
        <v>96</v>
      </c>
      <c r="E8" s="1" t="s">
        <v>100</v>
      </c>
    </row>
    <row r="9" spans="1:5" x14ac:dyDescent="0.25">
      <c r="A9" s="2" t="s">
        <v>101</v>
      </c>
      <c r="B9" s="1" t="s">
        <v>102</v>
      </c>
      <c r="C9" s="15">
        <f>C5*C6</f>
        <v>333308.34900000005</v>
      </c>
      <c r="D9" s="1" t="s">
        <v>103</v>
      </c>
      <c r="E9" s="1" t="s">
        <v>104</v>
      </c>
    </row>
    <row r="10" spans="1:5" x14ac:dyDescent="0.25">
      <c r="A10" s="2" t="s">
        <v>105</v>
      </c>
      <c r="B10" s="1" t="s">
        <v>106</v>
      </c>
      <c r="C10" s="15">
        <f>'Balance Sheet'!C38</f>
        <v>19494</v>
      </c>
      <c r="D10" s="1" t="s">
        <v>103</v>
      </c>
      <c r="E10" s="1" t="s">
        <v>107</v>
      </c>
    </row>
    <row r="11" spans="1:5" x14ac:dyDescent="0.25">
      <c r="A11" s="2" t="s">
        <v>108</v>
      </c>
      <c r="B11" s="1" t="s">
        <v>109</v>
      </c>
      <c r="C11" s="15">
        <f>'Balance Sheet'!C8</f>
        <v>16827</v>
      </c>
      <c r="D11" s="1" t="s">
        <v>103</v>
      </c>
      <c r="E11" s="1" t="s">
        <v>107</v>
      </c>
    </row>
    <row r="12" spans="1:5" x14ac:dyDescent="0.25">
      <c r="A12" s="2" t="s">
        <v>110</v>
      </c>
      <c r="B12" s="1" t="s">
        <v>111</v>
      </c>
      <c r="C12" s="15">
        <f>'Balance Sheet'!C5</f>
        <v>9282</v>
      </c>
      <c r="D12" s="1" t="s">
        <v>103</v>
      </c>
      <c r="E12" s="1" t="s">
        <v>107</v>
      </c>
    </row>
    <row r="13" spans="1:5" x14ac:dyDescent="0.25">
      <c r="A13" s="2" t="s">
        <v>112</v>
      </c>
      <c r="B13" s="1" t="s">
        <v>113</v>
      </c>
      <c r="C13" s="15">
        <f>'Balance Sheet'!C17</f>
        <v>87764</v>
      </c>
      <c r="D13" s="1" t="s">
        <v>103</v>
      </c>
      <c r="E13" s="1" t="s">
        <v>107</v>
      </c>
    </row>
    <row r="14" spans="1:5" x14ac:dyDescent="0.25">
      <c r="A14" s="2" t="s">
        <v>114</v>
      </c>
      <c r="B14" s="1" t="s">
        <v>115</v>
      </c>
      <c r="C14" s="15">
        <f>'Balance Sheet'!C28+'Balance Sheet'!C29</f>
        <v>27351</v>
      </c>
      <c r="D14" s="1" t="s">
        <v>103</v>
      </c>
      <c r="E14" s="1" t="s">
        <v>116</v>
      </c>
    </row>
    <row r="15" spans="1:5" x14ac:dyDescent="0.25">
      <c r="A15" s="2" t="s">
        <v>117</v>
      </c>
      <c r="B15" s="1" t="s">
        <v>118</v>
      </c>
      <c r="C15" s="15">
        <f>C14+C10</f>
        <v>46845</v>
      </c>
      <c r="D15" s="1" t="s">
        <v>103</v>
      </c>
      <c r="E15" s="1" t="s">
        <v>119</v>
      </c>
    </row>
    <row r="16" spans="1:5" x14ac:dyDescent="0.25">
      <c r="A16" s="2" t="s">
        <v>120</v>
      </c>
      <c r="B16" s="1" t="s">
        <v>121</v>
      </c>
      <c r="C16" s="15">
        <f>'Income Statement'!B13*(1-C8)</f>
        <v>8476.5378216792305</v>
      </c>
      <c r="D16" s="1" t="s">
        <v>103</v>
      </c>
      <c r="E16" s="1" t="s">
        <v>122</v>
      </c>
    </row>
    <row r="17" spans="1:5" x14ac:dyDescent="0.25">
      <c r="A17" s="2" t="s">
        <v>123</v>
      </c>
      <c r="B17" s="1" t="s">
        <v>124</v>
      </c>
      <c r="C17" s="12">
        <f>'Income Statement'!B6/365</f>
        <v>185.17534246575343</v>
      </c>
      <c r="D17" s="1" t="s">
        <v>125</v>
      </c>
      <c r="E17" s="1" t="s">
        <v>126</v>
      </c>
    </row>
    <row r="18" spans="1:5" x14ac:dyDescent="0.25">
      <c r="A18" s="2" t="s">
        <v>127</v>
      </c>
      <c r="B18" s="1" t="s">
        <v>128</v>
      </c>
      <c r="C18" s="15">
        <f>'Balance Sheet'!B38</f>
        <v>21318</v>
      </c>
      <c r="D18" s="1" t="s">
        <v>103</v>
      </c>
      <c r="E18" s="1" t="s">
        <v>129</v>
      </c>
    </row>
    <row r="19" spans="1:5" x14ac:dyDescent="0.25">
      <c r="A19" s="2" t="s">
        <v>130</v>
      </c>
      <c r="B19" s="1" t="s">
        <v>131</v>
      </c>
      <c r="C19" s="15">
        <f>'Balance Sheet'!B4</f>
        <v>9980</v>
      </c>
      <c r="D19" s="1" t="s">
        <v>103</v>
      </c>
      <c r="E19" s="1" t="s">
        <v>132</v>
      </c>
    </row>
    <row r="20" spans="1:5" x14ac:dyDescent="0.25">
      <c r="A20" s="2" t="s">
        <v>133</v>
      </c>
      <c r="B20" s="1" t="s">
        <v>134</v>
      </c>
      <c r="C20" s="15">
        <f>'Balance Sheet'!B9</f>
        <v>52485</v>
      </c>
      <c r="D20" s="1" t="s">
        <v>103</v>
      </c>
      <c r="E20" s="1" t="s">
        <v>135</v>
      </c>
    </row>
    <row r="21" spans="1:5" x14ac:dyDescent="0.25">
      <c r="A21" s="2" t="s">
        <v>136</v>
      </c>
      <c r="B21" s="1" t="s">
        <v>137</v>
      </c>
      <c r="C21" s="15">
        <f>'Balance Sheet'!B27</f>
        <v>36558</v>
      </c>
      <c r="D21" s="1" t="s">
        <v>103</v>
      </c>
      <c r="E21" s="1" t="s">
        <v>138</v>
      </c>
    </row>
    <row r="22" spans="1:5" x14ac:dyDescent="0.25">
      <c r="A22" s="2" t="s">
        <v>139</v>
      </c>
      <c r="B22" s="1" t="s">
        <v>140</v>
      </c>
      <c r="C22" s="15">
        <f>'Balance Sheet'!B28+'Balance Sheet'!B29</f>
        <v>30696</v>
      </c>
      <c r="D22" s="1" t="s">
        <v>103</v>
      </c>
      <c r="E22" s="1" t="s">
        <v>141</v>
      </c>
    </row>
    <row r="23" spans="1:5" x14ac:dyDescent="0.25">
      <c r="A23" s="2" t="s">
        <v>142</v>
      </c>
      <c r="B23" s="1" t="s">
        <v>143</v>
      </c>
      <c r="C23" s="15">
        <f>C20-C21</f>
        <v>15927</v>
      </c>
      <c r="D23" s="1" t="s">
        <v>103</v>
      </c>
      <c r="E23" s="1" t="s">
        <v>144</v>
      </c>
    </row>
    <row r="24" spans="1:5" x14ac:dyDescent="0.25">
      <c r="A24" s="2" t="s">
        <v>145</v>
      </c>
      <c r="B24" s="1" t="s">
        <v>146</v>
      </c>
      <c r="C24" s="15">
        <f>'Balance Sheet'!B17</f>
        <v>98585</v>
      </c>
      <c r="D24" s="1" t="s">
        <v>103</v>
      </c>
      <c r="E24" s="1" t="s">
        <v>146</v>
      </c>
    </row>
    <row r="25" spans="1:5" x14ac:dyDescent="0.25">
      <c r="A25" s="2" t="s">
        <v>147</v>
      </c>
      <c r="B25" s="1" t="s">
        <v>148</v>
      </c>
      <c r="C25" s="15">
        <f>C22+C18</f>
        <v>52014</v>
      </c>
      <c r="D25" s="1" t="s">
        <v>103</v>
      </c>
      <c r="E25" s="1" t="s">
        <v>149</v>
      </c>
    </row>
    <row r="26" spans="1:5" x14ac:dyDescent="0.25">
      <c r="A26" s="2" t="s">
        <v>150</v>
      </c>
      <c r="B26" s="1" t="s">
        <v>151</v>
      </c>
      <c r="C26" s="15">
        <f>'Balance Sheet'!B32</f>
        <v>77267</v>
      </c>
      <c r="D26" s="1" t="s">
        <v>103</v>
      </c>
      <c r="E26" s="1" t="s">
        <v>151</v>
      </c>
    </row>
    <row r="27" spans="1:5" x14ac:dyDescent="0.25">
      <c r="A27" s="2" t="s">
        <v>152</v>
      </c>
      <c r="B27" s="1" t="s">
        <v>153</v>
      </c>
      <c r="C27" s="15">
        <f>(C10+C18)/2</f>
        <v>20406</v>
      </c>
      <c r="D27" s="1" t="s">
        <v>103</v>
      </c>
      <c r="E27" s="1" t="s">
        <v>154</v>
      </c>
    </row>
    <row r="28" spans="1:5" x14ac:dyDescent="0.25">
      <c r="A28" s="2" t="s">
        <v>155</v>
      </c>
      <c r="B28" s="1" t="s">
        <v>156</v>
      </c>
      <c r="C28" s="15">
        <f>(C13+C24)/2</f>
        <v>93174.5</v>
      </c>
      <c r="D28" s="1" t="s">
        <v>103</v>
      </c>
      <c r="E28" s="1" t="s">
        <v>157</v>
      </c>
    </row>
    <row r="29" spans="1:5" x14ac:dyDescent="0.25">
      <c r="A29" s="2" t="s">
        <v>158</v>
      </c>
      <c r="B29" s="1" t="s">
        <v>159</v>
      </c>
      <c r="C29" s="15">
        <f>(C15+C25)/2</f>
        <v>49429.5</v>
      </c>
      <c r="D29" s="1" t="s">
        <v>103</v>
      </c>
      <c r="E29" s="1" t="s">
        <v>160</v>
      </c>
    </row>
    <row r="30" spans="1:5" x14ac:dyDescent="0.25">
      <c r="A30" s="2" t="s">
        <v>161</v>
      </c>
      <c r="B30" s="1" t="s">
        <v>162</v>
      </c>
      <c r="C30" s="15">
        <f>C22+C18</f>
        <v>52014</v>
      </c>
      <c r="D30" s="1" t="s">
        <v>103</v>
      </c>
      <c r="E30" s="1" t="s">
        <v>163</v>
      </c>
    </row>
    <row r="31" spans="1:5" x14ac:dyDescent="0.25">
      <c r="A31" s="2" t="s">
        <v>164</v>
      </c>
      <c r="B31" s="1" t="s">
        <v>165</v>
      </c>
      <c r="C31" s="15">
        <f>'Income Statement'!B6</f>
        <v>67589</v>
      </c>
      <c r="D31" s="1" t="s">
        <v>103</v>
      </c>
      <c r="E31" s="1" t="s">
        <v>166</v>
      </c>
    </row>
    <row r="32" spans="1:5" x14ac:dyDescent="0.25">
      <c r="A32" s="2" t="s">
        <v>167</v>
      </c>
      <c r="B32" s="1" t="s">
        <v>168</v>
      </c>
      <c r="C32" s="15">
        <f>'Income Statement'!B13</f>
        <v>11151</v>
      </c>
      <c r="D32" s="1" t="s">
        <v>103</v>
      </c>
      <c r="E32" s="1" t="s">
        <v>169</v>
      </c>
    </row>
    <row r="33" spans="1:5" x14ac:dyDescent="0.25">
      <c r="A33" s="2" t="s">
        <v>170</v>
      </c>
      <c r="B33" s="1" t="s">
        <v>171</v>
      </c>
      <c r="C33" s="15">
        <f>'Income Statement'!B10+'Income Statement'!B14</f>
        <v>1861</v>
      </c>
      <c r="D33" s="1" t="s">
        <v>103</v>
      </c>
      <c r="E33" s="1" t="s">
        <v>172</v>
      </c>
    </row>
    <row r="34" spans="1:5" x14ac:dyDescent="0.25">
      <c r="A34" s="2" t="s">
        <v>173</v>
      </c>
      <c r="B34" s="1" t="s">
        <v>174</v>
      </c>
      <c r="C34" s="15">
        <f>'Income Statement'!B16</f>
        <v>11541</v>
      </c>
      <c r="D34" s="1" t="s">
        <v>103</v>
      </c>
      <c r="E34" s="1" t="s">
        <v>55</v>
      </c>
    </row>
    <row r="35" spans="1:5" x14ac:dyDescent="0.25">
      <c r="A35" s="2" t="s">
        <v>175</v>
      </c>
      <c r="B35" s="1" t="s">
        <v>58</v>
      </c>
      <c r="C35" s="15">
        <f>'Income Statement'!B19</f>
        <v>8884</v>
      </c>
      <c r="D35" s="1" t="s">
        <v>103</v>
      </c>
      <c r="E35" s="1" t="s">
        <v>176</v>
      </c>
    </row>
    <row r="36" spans="1:5" x14ac:dyDescent="0.25">
      <c r="A36" s="2" t="s">
        <v>177</v>
      </c>
      <c r="B36" s="1" t="s">
        <v>178</v>
      </c>
      <c r="C36" s="15">
        <f>'Balance Sheet'!B8</f>
        <v>18135</v>
      </c>
      <c r="D36" s="1" t="s">
        <v>103</v>
      </c>
      <c r="E36" s="1" t="s">
        <v>179</v>
      </c>
    </row>
    <row r="37" spans="1:5" x14ac:dyDescent="0.25">
      <c r="A37" s="2" t="s">
        <v>180</v>
      </c>
      <c r="B37" s="1" t="s">
        <v>181</v>
      </c>
      <c r="C37" s="15">
        <f>'Balance Sheet'!B5</f>
        <v>10920</v>
      </c>
      <c r="D37" s="1" t="s">
        <v>103</v>
      </c>
      <c r="E37" s="1" t="s">
        <v>181</v>
      </c>
    </row>
    <row r="38" spans="1:5" x14ac:dyDescent="0.25">
      <c r="A38" s="2" t="s">
        <v>182</v>
      </c>
      <c r="B38" s="1" t="s">
        <v>46</v>
      </c>
      <c r="C38" s="15">
        <f>'Income Statement'!B7</f>
        <v>44752</v>
      </c>
      <c r="D38" s="1" t="s">
        <v>103</v>
      </c>
      <c r="E38" s="1" t="s">
        <v>183</v>
      </c>
    </row>
    <row r="39" spans="1:5" x14ac:dyDescent="0.25">
      <c r="A39" s="2" t="s">
        <v>184</v>
      </c>
      <c r="B39" s="1" t="s">
        <v>64</v>
      </c>
      <c r="C39" s="15">
        <f>'Cash Flow'!B5</f>
        <v>2262</v>
      </c>
      <c r="D39" s="1" t="s">
        <v>103</v>
      </c>
      <c r="E39" s="1" t="s">
        <v>185</v>
      </c>
    </row>
    <row r="40" spans="1:5" x14ac:dyDescent="0.25">
      <c r="A40" s="2"/>
      <c r="B40" s="1"/>
      <c r="C40" s="1"/>
      <c r="D40" s="1"/>
      <c r="E40" s="1"/>
    </row>
    <row r="41" spans="1:5" x14ac:dyDescent="0.25">
      <c r="A41" s="32" t="s">
        <v>186</v>
      </c>
      <c r="B41" s="33"/>
      <c r="C41" s="33"/>
      <c r="D41" s="33"/>
      <c r="E41" s="33"/>
    </row>
    <row r="42" spans="1:5" x14ac:dyDescent="0.25">
      <c r="A42" s="3" t="s">
        <v>187</v>
      </c>
      <c r="B42" s="4" t="s">
        <v>188</v>
      </c>
      <c r="C42" s="4" t="s">
        <v>189</v>
      </c>
      <c r="D42" s="28" t="s">
        <v>190</v>
      </c>
      <c r="E42" s="28" t="s">
        <v>191</v>
      </c>
    </row>
    <row r="43" spans="1:5" ht="27.95" customHeight="1" x14ac:dyDescent="0.25">
      <c r="A43" s="2" t="s">
        <v>192</v>
      </c>
      <c r="B43" s="1" t="s">
        <v>193</v>
      </c>
      <c r="C43" s="16">
        <f>C9-C18</f>
        <v>311990.34900000005</v>
      </c>
      <c r="D43" s="29" t="s">
        <v>194</v>
      </c>
      <c r="E43" s="29" t="s">
        <v>195</v>
      </c>
    </row>
    <row r="44" spans="1:5" ht="27.95" customHeight="1" x14ac:dyDescent="0.25">
      <c r="A44" s="2" t="s">
        <v>192</v>
      </c>
      <c r="B44" s="1" t="s">
        <v>196</v>
      </c>
      <c r="C44" s="17">
        <f>C9/C18</f>
        <v>15.635066563467495</v>
      </c>
      <c r="D44" s="29" t="s">
        <v>197</v>
      </c>
      <c r="E44" s="29" t="s">
        <v>198</v>
      </c>
    </row>
    <row r="45" spans="1:5" ht="27.95" customHeight="1" x14ac:dyDescent="0.25">
      <c r="A45" s="2" t="s">
        <v>192</v>
      </c>
      <c r="B45" s="1" t="s">
        <v>199</v>
      </c>
      <c r="C45" s="16">
        <f>C16-(C29*C7)</f>
        <v>3533.5878216792298</v>
      </c>
      <c r="D45" s="29" t="s">
        <v>200</v>
      </c>
      <c r="E45" s="29" t="s">
        <v>201</v>
      </c>
    </row>
    <row r="46" spans="1:5" ht="27.95" customHeight="1" x14ac:dyDescent="0.25">
      <c r="A46" s="2" t="s">
        <v>202</v>
      </c>
      <c r="B46" s="1" t="s">
        <v>203</v>
      </c>
      <c r="C46" s="18">
        <f>C35/C13</f>
        <v>0.10122601522264255</v>
      </c>
      <c r="D46" s="29" t="s">
        <v>204</v>
      </c>
      <c r="E46" s="29" t="s">
        <v>205</v>
      </c>
    </row>
    <row r="47" spans="1:5" ht="27.95" customHeight="1" x14ac:dyDescent="0.25">
      <c r="A47" s="2" t="s">
        <v>202</v>
      </c>
      <c r="B47" s="1" t="s">
        <v>206</v>
      </c>
      <c r="C47" s="18">
        <f>C16/C15</f>
        <v>0.18094861397543452</v>
      </c>
      <c r="D47" s="29" t="s">
        <v>207</v>
      </c>
      <c r="E47" s="29" t="s">
        <v>208</v>
      </c>
    </row>
    <row r="48" spans="1:5" ht="27.95" customHeight="1" x14ac:dyDescent="0.25">
      <c r="A48" s="2" t="s">
        <v>202</v>
      </c>
      <c r="B48" s="1" t="s">
        <v>209</v>
      </c>
      <c r="C48" s="18">
        <f>C35/C10</f>
        <v>0.45572996819534217</v>
      </c>
      <c r="D48" s="29" t="s">
        <v>210</v>
      </c>
      <c r="E48" s="29" t="s">
        <v>211</v>
      </c>
    </row>
    <row r="49" spans="1:5" ht="27.95" customHeight="1" x14ac:dyDescent="0.25">
      <c r="A49" s="2" t="s">
        <v>202</v>
      </c>
      <c r="B49" s="1" t="s">
        <v>212</v>
      </c>
      <c r="C49" s="18">
        <f>C35/C28</f>
        <v>9.5347976109343216E-2</v>
      </c>
      <c r="D49" s="29" t="s">
        <v>213</v>
      </c>
      <c r="E49" s="29" t="s">
        <v>214</v>
      </c>
    </row>
    <row r="50" spans="1:5" ht="27.95" customHeight="1" x14ac:dyDescent="0.25">
      <c r="A50" s="2" t="s">
        <v>202</v>
      </c>
      <c r="B50" s="1" t="s">
        <v>215</v>
      </c>
      <c r="C50" s="18">
        <f>C16/C29</f>
        <v>0.17148742798691533</v>
      </c>
      <c r="D50" s="29" t="s">
        <v>216</v>
      </c>
      <c r="E50" s="29" t="s">
        <v>217</v>
      </c>
    </row>
    <row r="51" spans="1:5" ht="27.95" customHeight="1" x14ac:dyDescent="0.25">
      <c r="A51" s="2" t="s">
        <v>202</v>
      </c>
      <c r="B51" s="1" t="s">
        <v>218</v>
      </c>
      <c r="C51" s="18">
        <f>C35/C27</f>
        <v>0.43536214838772908</v>
      </c>
      <c r="D51" s="29" t="s">
        <v>219</v>
      </c>
      <c r="E51" s="29" t="s">
        <v>220</v>
      </c>
    </row>
    <row r="52" spans="1:5" ht="27.95" customHeight="1" x14ac:dyDescent="0.25">
      <c r="A52" s="2" t="s">
        <v>221</v>
      </c>
      <c r="B52" s="1" t="s">
        <v>222</v>
      </c>
      <c r="C52" s="17">
        <f>C31/C28</f>
        <v>0.7254023364761818</v>
      </c>
      <c r="D52" s="29" t="s">
        <v>223</v>
      </c>
      <c r="E52" s="29" t="s">
        <v>224</v>
      </c>
    </row>
    <row r="53" spans="1:5" ht="27.95" customHeight="1" x14ac:dyDescent="0.25">
      <c r="A53" s="2" t="s">
        <v>221</v>
      </c>
      <c r="B53" s="1" t="s">
        <v>225</v>
      </c>
      <c r="C53" s="17">
        <f>C31/((C12+C37)/2)</f>
        <v>6.6913176913176917</v>
      </c>
      <c r="D53" s="29" t="s">
        <v>226</v>
      </c>
      <c r="E53" s="29" t="s">
        <v>227</v>
      </c>
    </row>
    <row r="54" spans="1:5" ht="27.95" customHeight="1" x14ac:dyDescent="0.25">
      <c r="A54" s="2" t="s">
        <v>221</v>
      </c>
      <c r="B54" s="1" t="s">
        <v>228</v>
      </c>
      <c r="C54" s="19">
        <f>365/(C31/((C12+C37)/2))</f>
        <v>54.548299279468552</v>
      </c>
      <c r="D54" s="29" t="s">
        <v>229</v>
      </c>
      <c r="E54" s="29" t="s">
        <v>230</v>
      </c>
    </row>
    <row r="55" spans="1:5" ht="27.95" customHeight="1" x14ac:dyDescent="0.25">
      <c r="A55" s="2" t="s">
        <v>221</v>
      </c>
      <c r="B55" s="1" t="s">
        <v>231</v>
      </c>
      <c r="C55" s="17">
        <f>C38/((C11+C36)/2)</f>
        <v>2.5600366111778503</v>
      </c>
      <c r="D55" s="29" t="s">
        <v>232</v>
      </c>
      <c r="E55" s="29" t="s">
        <v>233</v>
      </c>
    </row>
    <row r="56" spans="1:5" ht="27.95" customHeight="1" x14ac:dyDescent="0.25">
      <c r="A56" s="2" t="s">
        <v>221</v>
      </c>
      <c r="B56" s="1" t="s">
        <v>234</v>
      </c>
      <c r="C56" s="19">
        <f>365/(C38/((C11+C36)/2))</f>
        <v>142.57608598498391</v>
      </c>
      <c r="D56" s="29" t="s">
        <v>235</v>
      </c>
      <c r="E56" s="29" t="s">
        <v>236</v>
      </c>
    </row>
    <row r="57" spans="1:5" ht="27.95" customHeight="1" x14ac:dyDescent="0.25">
      <c r="A57" s="2" t="s">
        <v>221</v>
      </c>
      <c r="B57" s="1" t="s">
        <v>237</v>
      </c>
      <c r="C57" s="18">
        <f>C35/C31</f>
        <v>0.13144150675405761</v>
      </c>
      <c r="D57" s="29" t="s">
        <v>238</v>
      </c>
      <c r="E57" s="29" t="s">
        <v>239</v>
      </c>
    </row>
    <row r="58" spans="1:5" ht="27.95" customHeight="1" x14ac:dyDescent="0.25">
      <c r="A58" s="2" t="s">
        <v>221</v>
      </c>
      <c r="B58" s="1" t="s">
        <v>240</v>
      </c>
      <c r="C58" s="18">
        <f>C32/C31</f>
        <v>0.16498246756128956</v>
      </c>
      <c r="D58" s="29" t="s">
        <v>241</v>
      </c>
      <c r="E58" s="29" t="s">
        <v>242</v>
      </c>
    </row>
    <row r="59" spans="1:5" ht="27.95" customHeight="1" x14ac:dyDescent="0.25">
      <c r="A59" s="2" t="s">
        <v>243</v>
      </c>
      <c r="B59" s="1" t="s">
        <v>244</v>
      </c>
      <c r="C59" s="18">
        <f>C22/C25</f>
        <v>0.59014880609066789</v>
      </c>
      <c r="D59" s="29" t="s">
        <v>245</v>
      </c>
      <c r="E59" s="29" t="s">
        <v>246</v>
      </c>
    </row>
    <row r="60" spans="1:5" ht="27.95" customHeight="1" x14ac:dyDescent="0.25">
      <c r="A60" s="2" t="s">
        <v>243</v>
      </c>
      <c r="B60" s="1" t="s">
        <v>247</v>
      </c>
      <c r="C60" s="17">
        <f>C22/C18</f>
        <v>1.4399099352659723</v>
      </c>
      <c r="D60" s="29" t="s">
        <v>248</v>
      </c>
      <c r="E60" s="29" t="s">
        <v>249</v>
      </c>
    </row>
    <row r="61" spans="1:5" ht="27.95" customHeight="1" x14ac:dyDescent="0.25">
      <c r="A61" s="2" t="s">
        <v>243</v>
      </c>
      <c r="B61" s="1" t="s">
        <v>250</v>
      </c>
      <c r="C61" s="18">
        <f>C26/C24</f>
        <v>0.78376020692803161</v>
      </c>
      <c r="D61" s="29" t="s">
        <v>251</v>
      </c>
      <c r="E61" s="29" t="s">
        <v>252</v>
      </c>
    </row>
    <row r="62" spans="1:5" ht="27.95" customHeight="1" x14ac:dyDescent="0.25">
      <c r="A62" s="2" t="s">
        <v>243</v>
      </c>
      <c r="B62" s="1" t="s">
        <v>253</v>
      </c>
      <c r="C62" s="17">
        <f>C32/C33</f>
        <v>5.9919398173025256</v>
      </c>
      <c r="D62" s="29" t="s">
        <v>254</v>
      </c>
      <c r="E62" s="29" t="s">
        <v>255</v>
      </c>
    </row>
    <row r="63" spans="1:5" ht="27.95" customHeight="1" x14ac:dyDescent="0.25">
      <c r="A63" s="2" t="s">
        <v>243</v>
      </c>
      <c r="B63" s="1" t="s">
        <v>256</v>
      </c>
      <c r="C63" s="17">
        <f>(C32+C39)/C33</f>
        <v>7.2074153680816764</v>
      </c>
      <c r="D63" s="29" t="s">
        <v>257</v>
      </c>
      <c r="E63" s="29" t="s">
        <v>258</v>
      </c>
    </row>
    <row r="64" spans="1:5" ht="27.95" customHeight="1" x14ac:dyDescent="0.25">
      <c r="A64" s="2" t="s">
        <v>243</v>
      </c>
      <c r="B64" s="1" t="s">
        <v>259</v>
      </c>
      <c r="C64" s="17">
        <f>C34/C32</f>
        <v>1.0349744417541027</v>
      </c>
      <c r="D64" s="29" t="s">
        <v>260</v>
      </c>
      <c r="E64" s="29" t="s">
        <v>261</v>
      </c>
    </row>
    <row r="65" spans="1:5" ht="27.95" customHeight="1" x14ac:dyDescent="0.25">
      <c r="A65" s="2" t="s">
        <v>243</v>
      </c>
      <c r="B65" s="1" t="s">
        <v>262</v>
      </c>
      <c r="C65" s="17">
        <f>C28/C27</f>
        <v>4.566034499656964</v>
      </c>
      <c r="D65" s="29" t="s">
        <v>263</v>
      </c>
      <c r="E65" s="29" t="s">
        <v>264</v>
      </c>
    </row>
    <row r="66" spans="1:5" ht="27.95" customHeight="1" x14ac:dyDescent="0.25">
      <c r="A66" s="2" t="s">
        <v>265</v>
      </c>
      <c r="B66" s="1" t="s">
        <v>266</v>
      </c>
      <c r="C66" s="18">
        <f>C23/C24</f>
        <v>0.16155601764974387</v>
      </c>
      <c r="D66" s="29" t="s">
        <v>267</v>
      </c>
      <c r="E66" s="29" t="s">
        <v>268</v>
      </c>
    </row>
    <row r="67" spans="1:5" ht="27.95" customHeight="1" x14ac:dyDescent="0.25">
      <c r="A67" s="2" t="s">
        <v>265</v>
      </c>
      <c r="B67" s="1" t="s">
        <v>269</v>
      </c>
      <c r="C67" s="17">
        <f>C20/C21</f>
        <v>1.4356638765796816</v>
      </c>
      <c r="D67" s="29" t="s">
        <v>270</v>
      </c>
      <c r="E67" s="29" t="s">
        <v>271</v>
      </c>
    </row>
    <row r="68" spans="1:5" ht="27.95" customHeight="1" x14ac:dyDescent="0.25">
      <c r="A68" s="2" t="s">
        <v>265</v>
      </c>
      <c r="B68" s="1" t="s">
        <v>272</v>
      </c>
      <c r="C68" s="17">
        <f>(C20-C36)/C21</f>
        <v>0.93960282291153785</v>
      </c>
      <c r="D68" s="29" t="s">
        <v>273</v>
      </c>
      <c r="E68" s="29" t="s">
        <v>274</v>
      </c>
    </row>
    <row r="69" spans="1:5" ht="27.95" customHeight="1" x14ac:dyDescent="0.25">
      <c r="A69" s="2" t="s">
        <v>265</v>
      </c>
      <c r="B69" s="1" t="s">
        <v>275</v>
      </c>
      <c r="C69" s="17">
        <f>C19/C21</f>
        <v>0.27299086383281362</v>
      </c>
      <c r="D69" s="29" t="s">
        <v>276</v>
      </c>
      <c r="E69" s="29" t="s">
        <v>277</v>
      </c>
    </row>
    <row r="70" spans="1:5" ht="27.95" customHeight="1" x14ac:dyDescent="0.25">
      <c r="A70" s="2" t="s">
        <v>278</v>
      </c>
      <c r="B70" s="1" t="s">
        <v>279</v>
      </c>
      <c r="C70" s="18">
        <f>(C35/C31)*(C31/C28)</f>
        <v>9.5347976109343216E-2</v>
      </c>
      <c r="D70" s="29" t="s">
        <v>280</v>
      </c>
      <c r="E70" s="29" t="s">
        <v>281</v>
      </c>
    </row>
    <row r="71" spans="1:5" ht="27.95" customHeight="1" x14ac:dyDescent="0.25">
      <c r="A71" s="2" t="s">
        <v>278</v>
      </c>
      <c r="B71" s="1" t="s">
        <v>282</v>
      </c>
      <c r="C71" s="18">
        <f>(C35/C34)*(C34/C32)*(C32/C31)*(C31/C28)*(C28/C27)</f>
        <v>0.43536214838772913</v>
      </c>
      <c r="D71" s="29" t="s">
        <v>283</v>
      </c>
      <c r="E71" s="29" t="s">
        <v>284</v>
      </c>
    </row>
    <row r="72" spans="1:5" x14ac:dyDescent="0.25">
      <c r="A72" s="2"/>
      <c r="B72" s="1"/>
      <c r="C72" s="1"/>
      <c r="D72" s="29"/>
      <c r="E72" s="29"/>
    </row>
    <row r="73" spans="1:5" x14ac:dyDescent="0.25">
      <c r="A73" s="32" t="s">
        <v>285</v>
      </c>
      <c r="B73" s="33"/>
      <c r="C73" s="33"/>
      <c r="D73" s="34"/>
      <c r="E73" s="34"/>
    </row>
    <row r="74" spans="1:5" x14ac:dyDescent="0.25">
      <c r="A74" s="3" t="s">
        <v>286</v>
      </c>
      <c r="B74" s="4" t="s">
        <v>287</v>
      </c>
      <c r="C74" s="4" t="s">
        <v>288</v>
      </c>
      <c r="D74" s="30" t="s">
        <v>289</v>
      </c>
      <c r="E74" s="30" t="s">
        <v>290</v>
      </c>
    </row>
    <row r="75" spans="1:5" x14ac:dyDescent="0.25">
      <c r="A75" s="2" t="s">
        <v>291</v>
      </c>
      <c r="B75" s="1" t="s">
        <v>292</v>
      </c>
      <c r="C75" s="12">
        <f>ABS(C70-C49)</f>
        <v>0</v>
      </c>
      <c r="D75" s="29" t="s">
        <v>293</v>
      </c>
      <c r="E75" s="31" t="str">
        <f>IF(C75&lt;0.0001,"PASS",IF(C75&lt;0.02,"PASS","REVIEW"))</f>
        <v>PASS</v>
      </c>
    </row>
    <row r="76" spans="1:5" x14ac:dyDescent="0.25">
      <c r="A76" s="2" t="s">
        <v>294</v>
      </c>
      <c r="B76" s="1" t="s">
        <v>295</v>
      </c>
      <c r="C76" s="12">
        <f>ABS(C71-C51)</f>
        <v>5.5511151231257827E-17</v>
      </c>
      <c r="D76" s="29" t="s">
        <v>293</v>
      </c>
      <c r="E76" s="31" t="str">
        <f>IF(C76&lt;0.0001,"PASS",IF(C76&lt;0.02,"PASS","REVIEW"))</f>
        <v>PASS</v>
      </c>
    </row>
    <row r="77" spans="1:5" x14ac:dyDescent="0.25">
      <c r="A77" s="2" t="s">
        <v>296</v>
      </c>
      <c r="B77" s="1" t="s">
        <v>297</v>
      </c>
      <c r="C77" s="12">
        <f>IF(AND(C67&gt;1,C23&gt;0),1,IF(AND(C67&lt;1,C23&lt;0),1,0))</f>
        <v>1</v>
      </c>
      <c r="D77" s="29" t="s">
        <v>298</v>
      </c>
      <c r="E77" s="31" t="str">
        <f>IF(C77=1,"PASS","REVIEW")</f>
        <v>PASS</v>
      </c>
    </row>
    <row r="78" spans="1:5" x14ac:dyDescent="0.25">
      <c r="A78" s="2" t="s">
        <v>299</v>
      </c>
      <c r="B78" s="1" t="s">
        <v>300</v>
      </c>
      <c r="C78" s="14">
        <f>ABS(C9-333710)/333710</f>
        <v>1.2035929399776882E-3</v>
      </c>
      <c r="D78" s="29" t="s">
        <v>301</v>
      </c>
      <c r="E78" s="31" t="str">
        <f>IF(C78&lt;0.0001,"PASS",IF(C78&lt;0.02,"PASS","REVIEW"))</f>
        <v>PASS</v>
      </c>
    </row>
    <row r="79" spans="1:5" x14ac:dyDescent="0.25">
      <c r="A79" s="2"/>
      <c r="B79" s="1"/>
      <c r="C79" s="1"/>
      <c r="D79" s="29"/>
      <c r="E79" s="29"/>
    </row>
    <row r="80" spans="1:5" x14ac:dyDescent="0.25">
      <c r="A80" s="32" t="s">
        <v>302</v>
      </c>
      <c r="B80" s="33"/>
      <c r="C80" s="33"/>
      <c r="D80" s="34"/>
      <c r="E80" s="34"/>
    </row>
    <row r="81" spans="1:5" x14ac:dyDescent="0.25">
      <c r="A81" s="3" t="s">
        <v>187</v>
      </c>
      <c r="B81" s="4" t="s">
        <v>188</v>
      </c>
      <c r="C81" s="4" t="s">
        <v>303</v>
      </c>
      <c r="D81" s="30" t="s">
        <v>304</v>
      </c>
      <c r="E81" s="30" t="s">
        <v>305</v>
      </c>
    </row>
    <row r="82" spans="1:5" ht="24" customHeight="1" x14ac:dyDescent="0.25">
      <c r="A82" s="21" t="str">
        <f t="shared" ref="A82:D110" si="0">A43</f>
        <v>Performance</v>
      </c>
      <c r="B82" s="20" t="str">
        <f t="shared" si="0"/>
        <v>Market Value Added (MVA)</v>
      </c>
      <c r="C82" s="22">
        <f t="shared" si="0"/>
        <v>311990.34900000005</v>
      </c>
      <c r="D82" s="31" t="str">
        <f t="shared" si="0"/>
        <v>market_capitalization - book_equity</v>
      </c>
      <c r="E82" s="31">
        <f t="shared" ref="E82:E110" si="1">ROW(C43)</f>
        <v>43</v>
      </c>
    </row>
    <row r="83" spans="1:5" ht="24" customHeight="1" x14ac:dyDescent="0.25">
      <c r="A83" s="21" t="str">
        <f t="shared" si="0"/>
        <v>Performance</v>
      </c>
      <c r="B83" s="20" t="str">
        <f t="shared" si="0"/>
        <v>Market-to-Book</v>
      </c>
      <c r="C83" s="23">
        <f t="shared" si="0"/>
        <v>15.635066563467495</v>
      </c>
      <c r="D83" s="31" t="str">
        <f t="shared" si="0"/>
        <v>market_capitalization / book_equity</v>
      </c>
      <c r="E83" s="31">
        <f t="shared" si="1"/>
        <v>44</v>
      </c>
    </row>
    <row r="84" spans="1:5" ht="24" customHeight="1" x14ac:dyDescent="0.25">
      <c r="A84" s="21" t="str">
        <f t="shared" si="0"/>
        <v>Performance</v>
      </c>
      <c r="B84" s="20" t="str">
        <f t="shared" si="0"/>
        <v>Economic Value Added (EVA)</v>
      </c>
      <c r="C84" s="22">
        <f t="shared" si="0"/>
        <v>3533.5878216792298</v>
      </c>
      <c r="D84" s="31" t="str">
        <f t="shared" si="0"/>
        <v>currentYear_after_tax_operating_income - (avg_total_capitalization * cost_of_capital)</v>
      </c>
      <c r="E84" s="31">
        <f t="shared" si="1"/>
        <v>45</v>
      </c>
    </row>
    <row r="85" spans="1:5" ht="24" customHeight="1" x14ac:dyDescent="0.25">
      <c r="A85" s="21" t="str">
        <f t="shared" si="0"/>
        <v>Profitability</v>
      </c>
      <c r="B85" s="20" t="str">
        <f t="shared" si="0"/>
        <v>ROA (start-of-year)</v>
      </c>
      <c r="C85" s="24">
        <f t="shared" si="0"/>
        <v>0.10122601522264255</v>
      </c>
      <c r="D85" s="31" t="str">
        <f t="shared" si="0"/>
        <v>net_income / startYear_assets_total</v>
      </c>
      <c r="E85" s="31">
        <f t="shared" si="1"/>
        <v>46</v>
      </c>
    </row>
    <row r="86" spans="1:5" ht="24" customHeight="1" x14ac:dyDescent="0.25">
      <c r="A86" s="21" t="str">
        <f t="shared" si="0"/>
        <v>Profitability</v>
      </c>
      <c r="B86" s="20" t="str">
        <f t="shared" si="0"/>
        <v>ROC (start-of-year)</v>
      </c>
      <c r="C86" s="24">
        <f t="shared" si="0"/>
        <v>0.18094861397543452</v>
      </c>
      <c r="D86" s="31" t="str">
        <f t="shared" si="0"/>
        <v>currentYear_after_tax_operating_income / startYear_total_capitalization</v>
      </c>
      <c r="E86" s="31">
        <f t="shared" si="1"/>
        <v>47</v>
      </c>
    </row>
    <row r="87" spans="1:5" ht="24" customHeight="1" x14ac:dyDescent="0.25">
      <c r="A87" s="21" t="str">
        <f t="shared" si="0"/>
        <v>Profitability</v>
      </c>
      <c r="B87" s="20" t="str">
        <f t="shared" si="0"/>
        <v>ROE (start-of-year)</v>
      </c>
      <c r="C87" s="24">
        <f t="shared" si="0"/>
        <v>0.45572996819534217</v>
      </c>
      <c r="D87" s="31" t="str">
        <f t="shared" si="0"/>
        <v>net_income / startYear_equity</v>
      </c>
      <c r="E87" s="31">
        <f t="shared" si="1"/>
        <v>48</v>
      </c>
    </row>
    <row r="88" spans="1:5" ht="24" customHeight="1" x14ac:dyDescent="0.25">
      <c r="A88" s="21" t="str">
        <f t="shared" si="0"/>
        <v>Profitability</v>
      </c>
      <c r="B88" s="20" t="str">
        <f t="shared" si="0"/>
        <v>ROA (average)</v>
      </c>
      <c r="C88" s="24">
        <f t="shared" si="0"/>
        <v>9.5347976109343216E-2</v>
      </c>
      <c r="D88" s="31" t="str">
        <f t="shared" si="0"/>
        <v>net_income / avg_total_assets</v>
      </c>
      <c r="E88" s="31">
        <f t="shared" si="1"/>
        <v>49</v>
      </c>
    </row>
    <row r="89" spans="1:5" ht="24" customHeight="1" x14ac:dyDescent="0.25">
      <c r="A89" s="21" t="str">
        <f t="shared" si="0"/>
        <v>Profitability</v>
      </c>
      <c r="B89" s="20" t="str">
        <f t="shared" si="0"/>
        <v>ROC (average)</v>
      </c>
      <c r="C89" s="24">
        <f t="shared" si="0"/>
        <v>0.17148742798691533</v>
      </c>
      <c r="D89" s="31" t="str">
        <f t="shared" si="0"/>
        <v>currentYear_after_tax_operating_income / avg_total_capitalization</v>
      </c>
      <c r="E89" s="31">
        <f t="shared" si="1"/>
        <v>50</v>
      </c>
    </row>
    <row r="90" spans="1:5" ht="24" customHeight="1" x14ac:dyDescent="0.25">
      <c r="A90" s="21" t="str">
        <f t="shared" si="0"/>
        <v>Profitability</v>
      </c>
      <c r="B90" s="20" t="str">
        <f t="shared" si="0"/>
        <v>ROE (average)</v>
      </c>
      <c r="C90" s="24">
        <f t="shared" si="0"/>
        <v>0.43536214838772908</v>
      </c>
      <c r="D90" s="31" t="str">
        <f t="shared" si="0"/>
        <v>net_income / avg_equity</v>
      </c>
      <c r="E90" s="31">
        <f t="shared" si="1"/>
        <v>51</v>
      </c>
    </row>
    <row r="91" spans="1:5" ht="24" customHeight="1" x14ac:dyDescent="0.25">
      <c r="A91" s="21" t="str">
        <f t="shared" si="0"/>
        <v>Efficiency</v>
      </c>
      <c r="B91" s="20" t="str">
        <f t="shared" si="0"/>
        <v>Asset Turnover</v>
      </c>
      <c r="C91" s="23">
        <f t="shared" si="0"/>
        <v>0.7254023364761818</v>
      </c>
      <c r="D91" s="31" t="str">
        <f t="shared" si="0"/>
        <v>revenue / avg_total_assets</v>
      </c>
      <c r="E91" s="31">
        <f t="shared" si="1"/>
        <v>52</v>
      </c>
    </row>
    <row r="92" spans="1:5" ht="24" customHeight="1" x14ac:dyDescent="0.25">
      <c r="A92" s="21" t="str">
        <f t="shared" si="0"/>
        <v>Efficiency</v>
      </c>
      <c r="B92" s="20" t="str">
        <f t="shared" si="0"/>
        <v>Receivables Turnover</v>
      </c>
      <c r="C92" s="23">
        <f t="shared" si="0"/>
        <v>6.6913176913176917</v>
      </c>
      <c r="D92" s="31" t="str">
        <f t="shared" si="0"/>
        <v>revenue / avg_receivables</v>
      </c>
      <c r="E92" s="31">
        <f t="shared" si="1"/>
        <v>53</v>
      </c>
    </row>
    <row r="93" spans="1:5" ht="24" customHeight="1" x14ac:dyDescent="0.25">
      <c r="A93" s="21" t="str">
        <f t="shared" si="0"/>
        <v>Efficiency</v>
      </c>
      <c r="B93" s="20" t="str">
        <f t="shared" si="0"/>
        <v>Avg Collection Period</v>
      </c>
      <c r="C93" s="25">
        <f t="shared" si="0"/>
        <v>54.548299279468552</v>
      </c>
      <c r="D93" s="31" t="str">
        <f t="shared" si="0"/>
        <v>365 / receivables_turnover</v>
      </c>
      <c r="E93" s="31">
        <f t="shared" si="1"/>
        <v>54</v>
      </c>
    </row>
    <row r="94" spans="1:5" ht="24" customHeight="1" x14ac:dyDescent="0.25">
      <c r="A94" s="21" t="str">
        <f t="shared" si="0"/>
        <v>Efficiency</v>
      </c>
      <c r="B94" s="20" t="str">
        <f t="shared" si="0"/>
        <v>Inventory Turnover</v>
      </c>
      <c r="C94" s="23">
        <f t="shared" si="0"/>
        <v>2.5600366111778503</v>
      </c>
      <c r="D94" s="31" t="str">
        <f t="shared" si="0"/>
        <v>cogs / avg_inventory</v>
      </c>
      <c r="E94" s="31">
        <f t="shared" si="1"/>
        <v>55</v>
      </c>
    </row>
    <row r="95" spans="1:5" ht="24" customHeight="1" x14ac:dyDescent="0.25">
      <c r="A95" s="21" t="str">
        <f t="shared" si="0"/>
        <v>Efficiency</v>
      </c>
      <c r="B95" s="20" t="str">
        <f t="shared" si="0"/>
        <v>Days in Inventory</v>
      </c>
      <c r="C95" s="25">
        <f t="shared" si="0"/>
        <v>142.57608598498391</v>
      </c>
      <c r="D95" s="31" t="str">
        <f t="shared" si="0"/>
        <v>365 / inventory_turnover</v>
      </c>
      <c r="E95" s="31">
        <f t="shared" si="1"/>
        <v>56</v>
      </c>
    </row>
    <row r="96" spans="1:5" ht="24" customHeight="1" x14ac:dyDescent="0.25">
      <c r="A96" s="21" t="str">
        <f t="shared" si="0"/>
        <v>Efficiency</v>
      </c>
      <c r="B96" s="20" t="str">
        <f t="shared" si="0"/>
        <v>Profit Margin</v>
      </c>
      <c r="C96" s="24">
        <f t="shared" si="0"/>
        <v>0.13144150675405761</v>
      </c>
      <c r="D96" s="31" t="str">
        <f t="shared" si="0"/>
        <v>net_income / revenue</v>
      </c>
      <c r="E96" s="31">
        <f t="shared" si="1"/>
        <v>57</v>
      </c>
    </row>
    <row r="97" spans="1:5" ht="24" customHeight="1" x14ac:dyDescent="0.25">
      <c r="A97" s="21" t="str">
        <f t="shared" si="0"/>
        <v>Efficiency</v>
      </c>
      <c r="B97" s="20" t="str">
        <f t="shared" si="0"/>
        <v>Operating Profit Margin</v>
      </c>
      <c r="C97" s="24">
        <f t="shared" si="0"/>
        <v>0.16498246756128956</v>
      </c>
      <c r="D97" s="31" t="str">
        <f t="shared" si="0"/>
        <v>ebit / revenue</v>
      </c>
      <c r="E97" s="31">
        <f t="shared" si="1"/>
        <v>58</v>
      </c>
    </row>
    <row r="98" spans="1:5" ht="24" customHeight="1" x14ac:dyDescent="0.25">
      <c r="A98" s="21" t="str">
        <f t="shared" si="0"/>
        <v>Leverage</v>
      </c>
      <c r="B98" s="20" t="str">
        <f t="shared" si="0"/>
        <v>Long-term Debt Ratio</v>
      </c>
      <c r="C98" s="24">
        <f t="shared" si="0"/>
        <v>0.59014880609066789</v>
      </c>
      <c r="D98" s="31" t="str">
        <f t="shared" si="0"/>
        <v>long_term_debt / currentYear_total_capitalization</v>
      </c>
      <c r="E98" s="31">
        <f t="shared" si="1"/>
        <v>59</v>
      </c>
    </row>
    <row r="99" spans="1:5" ht="24" customHeight="1" x14ac:dyDescent="0.25">
      <c r="A99" s="21" t="str">
        <f t="shared" si="0"/>
        <v>Leverage</v>
      </c>
      <c r="B99" s="20" t="str">
        <f t="shared" si="0"/>
        <v>Debt-Equity Ratio</v>
      </c>
      <c r="C99" s="23">
        <f t="shared" si="0"/>
        <v>1.4399099352659723</v>
      </c>
      <c r="D99" s="31" t="str">
        <f t="shared" si="0"/>
        <v>long_term_debt / book_equity</v>
      </c>
      <c r="E99" s="31">
        <f t="shared" si="1"/>
        <v>60</v>
      </c>
    </row>
    <row r="100" spans="1:5" ht="24" customHeight="1" x14ac:dyDescent="0.25">
      <c r="A100" s="21" t="str">
        <f t="shared" si="0"/>
        <v>Leverage</v>
      </c>
      <c r="B100" s="20" t="str">
        <f t="shared" si="0"/>
        <v>Total Debt Ratio</v>
      </c>
      <c r="C100" s="24">
        <f t="shared" si="0"/>
        <v>0.78376020692803161</v>
      </c>
      <c r="D100" s="31" t="str">
        <f t="shared" si="0"/>
        <v>total_liabilities / currentYear_assets_total</v>
      </c>
      <c r="E100" s="31">
        <f t="shared" si="1"/>
        <v>61</v>
      </c>
    </row>
    <row r="101" spans="1:5" ht="24" customHeight="1" x14ac:dyDescent="0.25">
      <c r="A101" s="21" t="str">
        <f t="shared" si="0"/>
        <v>Leverage</v>
      </c>
      <c r="B101" s="20" t="str">
        <f t="shared" si="0"/>
        <v>Times Interest Earned</v>
      </c>
      <c r="C101" s="23">
        <f t="shared" si="0"/>
        <v>5.9919398173025256</v>
      </c>
      <c r="D101" s="31" t="str">
        <f t="shared" si="0"/>
        <v>ebit / interest_total</v>
      </c>
      <c r="E101" s="31">
        <f t="shared" si="1"/>
        <v>62</v>
      </c>
    </row>
    <row r="102" spans="1:5" ht="24" customHeight="1" x14ac:dyDescent="0.25">
      <c r="A102" s="21" t="str">
        <f t="shared" si="0"/>
        <v>Leverage</v>
      </c>
      <c r="B102" s="20" t="str">
        <f t="shared" si="0"/>
        <v>Cash Coverage</v>
      </c>
      <c r="C102" s="23">
        <f t="shared" si="0"/>
        <v>7.2074153680816764</v>
      </c>
      <c r="D102" s="31" t="str">
        <f t="shared" si="0"/>
        <v>(ebit + depreciation_amortization) / interest_total</v>
      </c>
      <c r="E102" s="31">
        <f t="shared" si="1"/>
        <v>63</v>
      </c>
    </row>
    <row r="103" spans="1:5" ht="24" customHeight="1" x14ac:dyDescent="0.25">
      <c r="A103" s="21" t="str">
        <f t="shared" si="0"/>
        <v>Leverage</v>
      </c>
      <c r="B103" s="20" t="str">
        <f t="shared" si="0"/>
        <v>Debt Burden</v>
      </c>
      <c r="C103" s="23">
        <f t="shared" si="0"/>
        <v>1.0349744417541027</v>
      </c>
      <c r="D103" s="31" t="str">
        <f t="shared" si="0"/>
        <v>pretax_profit / ebit</v>
      </c>
      <c r="E103" s="31">
        <f t="shared" si="1"/>
        <v>64</v>
      </c>
    </row>
    <row r="104" spans="1:5" ht="24" customHeight="1" x14ac:dyDescent="0.25">
      <c r="A104" s="21" t="str">
        <f t="shared" si="0"/>
        <v>Leverage</v>
      </c>
      <c r="B104" s="20" t="str">
        <f t="shared" si="0"/>
        <v>Leverage Ratio</v>
      </c>
      <c r="C104" s="23">
        <f t="shared" si="0"/>
        <v>4.566034499656964</v>
      </c>
      <c r="D104" s="31" t="str">
        <f t="shared" si="0"/>
        <v>avg_total_assets / avg_equity</v>
      </c>
      <c r="E104" s="31">
        <f t="shared" si="1"/>
        <v>65</v>
      </c>
    </row>
    <row r="105" spans="1:5" ht="24" customHeight="1" x14ac:dyDescent="0.25">
      <c r="A105" s="21" t="str">
        <f t="shared" si="0"/>
        <v>Liquidity</v>
      </c>
      <c r="B105" s="20" t="str">
        <f t="shared" si="0"/>
        <v>NWC-to-Assets</v>
      </c>
      <c r="C105" s="24">
        <f t="shared" si="0"/>
        <v>0.16155601764974387</v>
      </c>
      <c r="D105" s="31" t="str">
        <f t="shared" si="0"/>
        <v>nwc / currentYear_assets_total</v>
      </c>
      <c r="E105" s="31">
        <f t="shared" si="1"/>
        <v>66</v>
      </c>
    </row>
    <row r="106" spans="1:5" ht="24" customHeight="1" x14ac:dyDescent="0.25">
      <c r="A106" s="21" t="str">
        <f t="shared" si="0"/>
        <v>Liquidity</v>
      </c>
      <c r="B106" s="20" t="str">
        <f t="shared" si="0"/>
        <v>Current Ratio</v>
      </c>
      <c r="C106" s="23">
        <f t="shared" si="0"/>
        <v>1.4356638765796816</v>
      </c>
      <c r="D106" s="31" t="str">
        <f t="shared" si="0"/>
        <v>current_assets_total / current_liabilities_total</v>
      </c>
      <c r="E106" s="31">
        <f t="shared" si="1"/>
        <v>67</v>
      </c>
    </row>
    <row r="107" spans="1:5" ht="24" customHeight="1" x14ac:dyDescent="0.25">
      <c r="A107" s="21" t="str">
        <f t="shared" si="0"/>
        <v>Liquidity</v>
      </c>
      <c r="B107" s="20" t="str">
        <f t="shared" si="0"/>
        <v>Quick Ratio</v>
      </c>
      <c r="C107" s="23">
        <f t="shared" si="0"/>
        <v>0.93960282291153785</v>
      </c>
      <c r="D107" s="31" t="str">
        <f t="shared" si="0"/>
        <v>(current_assets_total - inventory_current) / current_liabilities_total</v>
      </c>
      <c r="E107" s="31">
        <f t="shared" si="1"/>
        <v>68</v>
      </c>
    </row>
    <row r="108" spans="1:5" ht="24" customHeight="1" x14ac:dyDescent="0.25">
      <c r="A108" s="21" t="str">
        <f t="shared" si="0"/>
        <v>Liquidity</v>
      </c>
      <c r="B108" s="20" t="str">
        <f t="shared" si="0"/>
        <v>Cash Ratio</v>
      </c>
      <c r="C108" s="23">
        <f t="shared" si="0"/>
        <v>0.27299086383281362</v>
      </c>
      <c r="D108" s="31" t="str">
        <f t="shared" si="0"/>
        <v>cash / current_liabilities_total</v>
      </c>
      <c r="E108" s="31">
        <f t="shared" si="1"/>
        <v>69</v>
      </c>
    </row>
    <row r="109" spans="1:5" ht="24" customHeight="1" x14ac:dyDescent="0.25">
      <c r="A109" s="21" t="str">
        <f t="shared" si="0"/>
        <v>Du Pont</v>
      </c>
      <c r="B109" s="20" t="str">
        <f t="shared" si="0"/>
        <v>ROA decomposition</v>
      </c>
      <c r="C109" s="24">
        <f t="shared" si="0"/>
        <v>9.5347976109343216E-2</v>
      </c>
      <c r="D109" s="31" t="str">
        <f t="shared" si="0"/>
        <v>(net_income / revenue) * (revenue / avg_total_assets)</v>
      </c>
      <c r="E109" s="31">
        <f t="shared" si="1"/>
        <v>70</v>
      </c>
    </row>
    <row r="110" spans="1:5" ht="24" customHeight="1" x14ac:dyDescent="0.25">
      <c r="A110" s="21" t="str">
        <f t="shared" si="0"/>
        <v>Du Pont</v>
      </c>
      <c r="B110" s="20" t="str">
        <f t="shared" si="0"/>
        <v>ROE decomposition</v>
      </c>
      <c r="C110" s="24">
        <f t="shared" si="0"/>
        <v>0.43536214838772913</v>
      </c>
      <c r="D110" s="31" t="str">
        <f t="shared" si="0"/>
        <v>(net_income / pretax_profit) * (pretax_profit / ebit) * (ebit / revenue) * (revenue / avg_total_assets) * (avg_total_assets / avg_equity)</v>
      </c>
      <c r="E110" s="31">
        <f t="shared" si="1"/>
        <v>71</v>
      </c>
    </row>
  </sheetData>
  <mergeCells count="4">
    <mergeCell ref="A80:E80"/>
    <mergeCell ref="A1:E1"/>
    <mergeCell ref="A41:E41"/>
    <mergeCell ref="A73:E7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selection activeCell="B8" sqref="B8"/>
    </sheetView>
  </sheetViews>
  <sheetFormatPr defaultRowHeight="15" x14ac:dyDescent="0.25"/>
  <cols>
    <col min="1" max="1" width="29.7109375" customWidth="1"/>
    <col min="2" max="2" width="58" customWidth="1"/>
    <col min="3" max="3" width="64" customWidth="1"/>
    <col min="4" max="4" width="14" customWidth="1"/>
  </cols>
  <sheetData>
    <row r="1" spans="1:4" ht="21.95" customHeight="1" x14ac:dyDescent="0.25">
      <c r="A1" s="32" t="s">
        <v>306</v>
      </c>
      <c r="B1" s="33"/>
      <c r="C1" s="33"/>
      <c r="D1" s="33"/>
    </row>
    <row r="2" spans="1:4" x14ac:dyDescent="0.25">
      <c r="A2" s="2"/>
      <c r="B2" s="2"/>
      <c r="C2" s="1"/>
      <c r="D2" s="1"/>
    </row>
    <row r="3" spans="1:4" x14ac:dyDescent="0.25">
      <c r="A3" s="3" t="s">
        <v>307</v>
      </c>
      <c r="B3" s="3" t="s">
        <v>308</v>
      </c>
      <c r="C3" s="4" t="s">
        <v>309</v>
      </c>
      <c r="D3" s="4" t="s">
        <v>290</v>
      </c>
    </row>
    <row r="4" spans="1:4" ht="36" customHeight="1" x14ac:dyDescent="0.25">
      <c r="A4" s="2" t="s">
        <v>310</v>
      </c>
      <c r="B4" s="27" t="s">
        <v>311</v>
      </c>
      <c r="C4" s="27" t="s">
        <v>312</v>
      </c>
      <c r="D4" s="1" t="s">
        <v>313</v>
      </c>
    </row>
    <row r="5" spans="1:4" ht="36" customHeight="1" x14ac:dyDescent="0.25">
      <c r="A5" s="2" t="s">
        <v>314</v>
      </c>
      <c r="B5" s="27" t="s">
        <v>315</v>
      </c>
      <c r="C5" s="27" t="s">
        <v>316</v>
      </c>
      <c r="D5" s="1" t="s">
        <v>313</v>
      </c>
    </row>
    <row r="6" spans="1:4" ht="47.25" customHeight="1" x14ac:dyDescent="0.25">
      <c r="A6" s="2" t="s">
        <v>317</v>
      </c>
      <c r="B6" s="27" t="s">
        <v>318</v>
      </c>
      <c r="C6" s="27" t="s">
        <v>319</v>
      </c>
      <c r="D6" s="1" t="s">
        <v>313</v>
      </c>
    </row>
    <row r="7" spans="1:4" ht="36" customHeight="1" x14ac:dyDescent="0.25">
      <c r="A7" s="2" t="s">
        <v>320</v>
      </c>
      <c r="B7" s="27" t="s">
        <v>321</v>
      </c>
      <c r="C7" s="27" t="s">
        <v>322</v>
      </c>
      <c r="D7" s="1" t="s">
        <v>313</v>
      </c>
    </row>
    <row r="8" spans="1:4" ht="36" customHeight="1" x14ac:dyDescent="0.25">
      <c r="A8" s="2" t="s">
        <v>323</v>
      </c>
      <c r="B8" s="27" t="s">
        <v>324</v>
      </c>
      <c r="C8" s="27" t="s">
        <v>325</v>
      </c>
      <c r="D8" s="1" t="s">
        <v>313</v>
      </c>
    </row>
    <row r="9" spans="1:4" ht="36" customHeight="1" x14ac:dyDescent="0.25">
      <c r="A9" s="2" t="s">
        <v>326</v>
      </c>
      <c r="B9" s="27" t="s">
        <v>327</v>
      </c>
      <c r="C9" s="27" t="s">
        <v>328</v>
      </c>
      <c r="D9" s="26" t="s">
        <v>329</v>
      </c>
    </row>
    <row r="10" spans="1:4" ht="46.5" customHeight="1" x14ac:dyDescent="0.25">
      <c r="A10" s="2" t="s">
        <v>326</v>
      </c>
      <c r="B10" s="27" t="s">
        <v>330</v>
      </c>
      <c r="C10" s="27" t="s">
        <v>328</v>
      </c>
      <c r="D10" s="1" t="s">
        <v>313</v>
      </c>
    </row>
    <row r="11" spans="1:4" ht="36" customHeight="1" x14ac:dyDescent="0.25">
      <c r="A11" s="2" t="s">
        <v>331</v>
      </c>
      <c r="B11" s="27" t="s">
        <v>332</v>
      </c>
      <c r="C11" s="27" t="s">
        <v>328</v>
      </c>
      <c r="D11" s="1" t="s">
        <v>313</v>
      </c>
    </row>
    <row r="12" spans="1:4" ht="36" customHeight="1" x14ac:dyDescent="0.25">
      <c r="A12" s="2" t="s">
        <v>286</v>
      </c>
      <c r="B12" s="27" t="s">
        <v>333</v>
      </c>
      <c r="C12" s="27" t="s">
        <v>328</v>
      </c>
      <c r="D12" s="1" t="s">
        <v>334</v>
      </c>
    </row>
    <row r="13" spans="1:4" ht="48.75" customHeight="1" x14ac:dyDescent="0.25">
      <c r="A13" s="2" t="s">
        <v>286</v>
      </c>
      <c r="B13" s="27" t="s">
        <v>335</v>
      </c>
      <c r="C13" s="27" t="s">
        <v>328</v>
      </c>
      <c r="D13" s="1" t="s">
        <v>334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35</vt:i4>
      </vt:variant>
    </vt:vector>
  </HeadingPairs>
  <TitlesOfParts>
    <vt:vector size="40" baseType="lpstr">
      <vt:lpstr>Balance Sheet</vt:lpstr>
      <vt:lpstr>Income Statement</vt:lpstr>
      <vt:lpstr>Cash Flow</vt:lpstr>
      <vt:lpstr>Ratios</vt:lpstr>
      <vt:lpstr>Notes</vt:lpstr>
      <vt:lpstr>avg_equity</vt:lpstr>
      <vt:lpstr>avg_total_assets</vt:lpstr>
      <vt:lpstr>avg_total_capitalization</vt:lpstr>
      <vt:lpstr>book_equity</vt:lpstr>
      <vt:lpstr>cash</vt:lpstr>
      <vt:lpstr>cogs</vt:lpstr>
      <vt:lpstr>cost_of_capital</vt:lpstr>
      <vt:lpstr>current_assets_total</vt:lpstr>
      <vt:lpstr>current_liabilities_total</vt:lpstr>
      <vt:lpstr>currentYear_after_tax_operating_income</vt:lpstr>
      <vt:lpstr>currentYear_assets_total</vt:lpstr>
      <vt:lpstr>currentYear_total_capitalization</vt:lpstr>
      <vt:lpstr>daily_sales</vt:lpstr>
      <vt:lpstr>depreciation_amortization</vt:lpstr>
      <vt:lpstr>ebit</vt:lpstr>
      <vt:lpstr>interest_total</vt:lpstr>
      <vt:lpstr>inventory_current</vt:lpstr>
      <vt:lpstr>long_term_debt</vt:lpstr>
      <vt:lpstr>long_term_debt_plus_equity</vt:lpstr>
      <vt:lpstr>market_capitalization</vt:lpstr>
      <vt:lpstr>net_income</vt:lpstr>
      <vt:lpstr>nwc</vt:lpstr>
      <vt:lpstr>pretax_profit</vt:lpstr>
      <vt:lpstr>receivables_current</vt:lpstr>
      <vt:lpstr>revenue</vt:lpstr>
      <vt:lpstr>share_price</vt:lpstr>
      <vt:lpstr>shares_outstanding</vt:lpstr>
      <vt:lpstr>startYear_assets_total</vt:lpstr>
      <vt:lpstr>startYear_equity</vt:lpstr>
      <vt:lpstr>startYear_inventories</vt:lpstr>
      <vt:lpstr>startYear_lt_debt</vt:lpstr>
      <vt:lpstr>startYear_receivables</vt:lpstr>
      <vt:lpstr>startYear_total_capitalization</vt:lpstr>
      <vt:lpstr>tax_rate</vt:lpstr>
      <vt:lpstr>total_liabilities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Verified ✔</cp:lastModifiedBy>
  <dcterms:created xsi:type="dcterms:W3CDTF">2026-04-10T22:41:08Z</dcterms:created>
  <dcterms:modified xsi:type="dcterms:W3CDTF">2026-04-10T22:51:57Z</dcterms:modified>
</cp:coreProperties>
</file>